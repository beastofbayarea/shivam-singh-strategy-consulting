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sudos\Desktop\LEK\"/>
    </mc:Choice>
  </mc:AlternateContent>
  <xr:revisionPtr revIDLastSave="0" documentId="13_ncr:1_{E55BA187-3C71-457B-B182-024498C3DB9D}" xr6:coauthVersionLast="47" xr6:coauthVersionMax="47" xr10:uidLastSave="{00000000-0000-0000-0000-000000000000}"/>
  <bookViews>
    <workbookView xWindow="-110" yWindow="-110" windowWidth="25820" windowHeight="13900" activeTab="1" xr2:uid="{00000000-000D-0000-FFFF-FFFF00000000}"/>
  </bookViews>
  <sheets>
    <sheet name="Case background and team" sheetId="1" r:id="rId1"/>
    <sheet name="Issue map &amp; Workpl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uDesTJxJ43tXfsPPiEi01i8ovoA=="/>
    </ext>
  </extLst>
</workbook>
</file>

<file path=xl/calcChain.xml><?xml version="1.0" encoding="utf-8"?>
<calcChain xmlns="http://schemas.openxmlformats.org/spreadsheetml/2006/main">
  <c r="L68" i="2" l="1"/>
  <c r="K68" i="2"/>
  <c r="J68" i="2"/>
  <c r="P67" i="2"/>
  <c r="O66" i="2"/>
  <c r="N66" i="2"/>
  <c r="M66" i="2"/>
  <c r="L66" i="2"/>
  <c r="K66" i="2"/>
  <c r="J66" i="2"/>
  <c r="P65" i="2"/>
  <c r="O64" i="2"/>
  <c r="N64" i="2"/>
  <c r="M64" i="2"/>
  <c r="L64" i="2"/>
  <c r="K64" i="2"/>
  <c r="J64" i="2"/>
  <c r="P63" i="2"/>
  <c r="P66" i="2" l="1"/>
  <c r="P68" i="2"/>
  <c r="P64" i="2"/>
</calcChain>
</file>

<file path=xl/sharedStrings.xml><?xml version="1.0" encoding="utf-8"?>
<sst xmlns="http://schemas.openxmlformats.org/spreadsheetml/2006/main" count="209" uniqueCount="139">
  <si>
    <t>Take home workplanning activity for L.E.K. Consulting 2nd round interviews</t>
  </si>
  <si>
    <t>CASE BACKGROUND:</t>
  </si>
  <si>
    <t>• Our client, FruityFruits, is a national producer of fruit products. Their products include freeze dried fruit snacks (strawberries and mangoes) and fresh cut fruit (strawberries, mangoes, and pineapples). These are the only products that they currently produce.
• FruityFruits currently sells via select grocery store chains (Albertsons and Publix) and they also sell DTC via their own website (not Amazon). 
• FruityFruits would like L.E.K. to size FruityFruits's current market (fresh cut and freeze dried fruits), identify key purchasing criteria (KPCs) for fruit products, assess their performance on those KPCs relative to competitors, identify a new product for FruityFruits to expand into (e.g., gummy fruit snacks) and align with FruityFruits on this growth opportunity, and size FruityFruits's expansion opportunity.</t>
  </si>
  <si>
    <t>CASE LOGISTICS:</t>
  </si>
  <si>
    <t>• FruityFruits hired L.E.K. for a 6 week long engagement. L.E.K. team assigned to the case consists of 3 associates of various seniority, 1 consultant, 1 engagement manager, and 1 managing director</t>
  </si>
  <si>
    <t>TEAM MEMBERS:</t>
  </si>
  <si>
    <t>LEVEL:</t>
  </si>
  <si>
    <t>CASE ALLOCATION:</t>
  </si>
  <si>
    <t>TEAM MEMBER BACKGROUND:</t>
  </si>
  <si>
    <t>Jane Jones</t>
  </si>
  <si>
    <t>First year associate</t>
  </si>
  <si>
    <t>6 weeks</t>
  </si>
  <si>
    <t>Jane joined L.E.K. two months ago out of undergrad and this is her second case. She is eager, though fairly inexperienced and cannot yet manage significant quantitative tasks without a lot of oversight</t>
  </si>
  <si>
    <t>Matt Miller</t>
  </si>
  <si>
    <t>Second year associate</t>
  </si>
  <si>
    <t xml:space="preserve">Matt has been at L.E.K. for just over a year. He has been feeling burnt out and also somewhat let down. He was looking forward to getting quantitative modeling experience, but when he got the opportunity he made a few significant mistakes, and so on subsequent cases he was not trusted with analytical work. </t>
  </si>
  <si>
    <t>Wilma Williams</t>
  </si>
  <si>
    <t>Fourth year associate</t>
  </si>
  <si>
    <t>3 weeks (first)</t>
  </si>
  <si>
    <t>Wilma has been at L.E.K. for over three years and is an established high performer and is looking to be promoted to Consultant level in 3-6 months. She is very experienced in quantitative modeling, has done it numerous times, and is looking to improve other skills (such as crafting a story with slides, overseeing more junior associates, or presenting to clients).</t>
  </si>
  <si>
    <t>You</t>
  </si>
  <si>
    <t>Consultant</t>
  </si>
  <si>
    <t>You are the consultant on the FruityFruits case, tasked with running the day to day activities and ensuring associates complete their assigned tasks timely and error-free</t>
  </si>
  <si>
    <t>Dave Duncan</t>
  </si>
  <si>
    <t>Engagement manager</t>
  </si>
  <si>
    <t>Dave has been at L.E.K. for 2 years and was recently promoted to his current position. While he has worked on other consumer products, he has limited experience in food and beverage and will be relying on research conducted by the team to get into the intricacies of the industry</t>
  </si>
  <si>
    <t>Laura Lawrence</t>
  </si>
  <si>
    <t>Managing director</t>
  </si>
  <si>
    <t>Laura is L.E.K.'s leading food and beverage expert. She advises all of L.E.K.'s top food and beverage clients and has authored several thought leading articles on the future of food and beverage industry. She will primarily focus on ensuring that interim and final readouts for FruityFruits go smoothly</t>
  </si>
  <si>
    <t>TASK #1:</t>
  </si>
  <si>
    <t>There are four key questions that must be answered as part of the FruityFruits engagement. Two of them are already filled in below (#1 and #2). 
TASK: Your task is to 1) fill in remaining two key questions (numbered #3 and #4), and 2) for all four key questions, please type sub-questions that you would need to answer to get to the answer for each bolded element</t>
  </si>
  <si>
    <t>1. What Key Purchasing Criteria (KPCs) are most improtant for fruit products?</t>
  </si>
  <si>
    <t>What factors do consumers consider when purchasing fruit products (e.g., taste, quality, price, packaging, etc.)?</t>
  </si>
  <si>
    <t>How do customers rank the purchasing criteria on an aggregate when making a purchase decision?</t>
  </si>
  <si>
    <t>How do these factors rank in importance for different market segments (e.g., segments based on age, income, geography, etc.)?</t>
  </si>
  <si>
    <t>What is the impact of these KPCs on purchasing behavior and brand loyalty?</t>
  </si>
  <si>
    <t>2. What is FruityFruits's performance relative to competitors?</t>
  </si>
  <si>
    <t>What is the overall market size for fresh cut and freeze dried fruits?</t>
  </si>
  <si>
    <t>Who are the key players in the market and what is their market share?</t>
  </si>
  <si>
    <t>How does FruityFruits's performance on the KPCs compared to competitors?</t>
  </si>
  <si>
    <t>How do FruityFruit's customer segment and channels differ from its competitors?</t>
  </si>
  <si>
    <t>What is the sustainable competitive advantage of FruityFruits against its competitors?</t>
  </si>
  <si>
    <t>3. What are the possible new product opportunity for FruityFruits to expand into?</t>
  </si>
  <si>
    <t>What are the trends and consumer preferences in the fruit snack market?</t>
  </si>
  <si>
    <t>What are the current offerings in the market and what gaps exist in consumer demand?</t>
  </si>
  <si>
    <t>Which KPCs will each of these new products address?</t>
  </si>
  <si>
    <t>4. Which identified expansion opportunity should FruityFruits pursue?</t>
  </si>
  <si>
    <t>What is the estimated overall market size and FruityFruit's market share for the new product?</t>
  </si>
  <si>
    <t>What is the estimated revenue and profit potential for the new product?</t>
  </si>
  <si>
    <t>How do FruityFruits' expertise and capabilities align with the identified opportunity?</t>
  </si>
  <si>
    <t>TASK #2:</t>
  </si>
  <si>
    <t xml:space="preserve">Different types of research and analysis that L.E.K. typically conducts for a case are shown below. Please read them and their descriptions carefully. 
To the right of research / analysis you will find a list of potential activities that may be relevant to this case (team management and content generation may not necessarily be captured in the list). </t>
  </si>
  <si>
    <r>
      <rPr>
        <b/>
        <sz val="12"/>
        <color theme="1"/>
        <rFont val="Calibri"/>
      </rPr>
      <t xml:space="preserve">TASK: In the blank workplan table, please highlight activities from the list on the left and proposed Associate owners for those activities. 
NOTE that not all activities listed on the left are relevant to this case, and your task is to 1) identify which activities are relevant to this case, 2) propose for how long each activity should be conducted, and 3) propose an </t>
    </r>
    <r>
      <rPr>
        <b/>
        <u/>
        <sz val="12"/>
        <color theme="1"/>
        <rFont val="Calibri"/>
      </rPr>
      <t>Associate</t>
    </r>
    <r>
      <rPr>
        <b/>
        <sz val="12"/>
        <color theme="1"/>
        <rFont val="Calibri"/>
      </rPr>
      <t xml:space="preserve"> to own the activity. 
Please also fill in proposed content for the interim and final client presentations at the bottom of the workplan table</t>
    </r>
  </si>
  <si>
    <t xml:space="preserve"> Research and analysis types and descriptions: </t>
  </si>
  <si>
    <t>Activity #</t>
  </si>
  <si>
    <t>Activity list:</t>
  </si>
  <si>
    <t>Priority</t>
  </si>
  <si>
    <t>Sub-Question(s)
Answered:</t>
  </si>
  <si>
    <t>Interviews:</t>
  </si>
  <si>
    <t>Week 1</t>
  </si>
  <si>
    <t>Week 2</t>
  </si>
  <si>
    <t>Week 3</t>
  </si>
  <si>
    <t>Week 4</t>
  </si>
  <si>
    <t>Week 5</t>
  </si>
  <si>
    <t>Week 6</t>
  </si>
  <si>
    <t>Notes:</t>
  </si>
  <si>
    <t>Directions to fill out the blank workplan:</t>
  </si>
  <si>
    <r>
      <rPr>
        <sz val="12"/>
        <color theme="1"/>
        <rFont val="Calibri"/>
      </rPr>
      <t xml:space="preserve">Phone interviews conducted with various stakeholders to gather qualitative insights. 
</t>
    </r>
    <r>
      <rPr>
        <b/>
        <sz val="12"/>
        <color theme="1"/>
        <rFont val="Calibri"/>
      </rPr>
      <t>• Typically take 2-5</t>
    </r>
    <r>
      <rPr>
        <b/>
        <sz val="12"/>
        <color theme="1"/>
        <rFont val="Calibri"/>
      </rPr>
      <t xml:space="preserve"> weeks to complete
• Typically conducted by 1st or 2nd year Associates
• Take up ~50% of Associate's time (multiple types of interviews can be done concurrently)</t>
    </r>
  </si>
  <si>
    <t>Interviews with FruityFruits customers</t>
  </si>
  <si>
    <t>High</t>
  </si>
  <si>
    <t>What factors do consumers consider when purchasing fruit products (e.g., taste, quality, price, packaging, etc.)?
What is the impact of these KPCs on purchasing behavior and brand loyalty?
How does FruityFruits's performance on the KPCs compared to competitors?
How do FruityFruit's customer segment and channels differ from its competitors?
What is the sustainable competitive advantage of FruityFruits against its competitors?</t>
  </si>
  <si>
    <t>Yes 
Owner(s): Jane, Shivam</t>
  </si>
  <si>
    <t>Yes 
Owner(s): Jane</t>
  </si>
  <si>
    <t>Work Split: 80% Jane, 20% Shivam 
Shivam will mentor and guide Jane in Week 1</t>
  </si>
  <si>
    <t>Interviews with FruityFruits competitors</t>
  </si>
  <si>
    <t>Low</t>
  </si>
  <si>
    <t>N/A</t>
  </si>
  <si>
    <t>Yes 
Owner(s): X</t>
  </si>
  <si>
    <t>Interviews with distributors of FruityFruits products</t>
  </si>
  <si>
    <t>Medium</t>
  </si>
  <si>
    <t xml:space="preserve">Enter "Yes" if activity is in progress during a specific week. 
Enter the team member(s) owning the activity underneath. </t>
  </si>
  <si>
    <t>If activity is not to be performed during a specific week, leave the cell blank.</t>
  </si>
  <si>
    <t>Interviews with internal L.E.K. experts</t>
  </si>
  <si>
    <t>What is the sustainable competitive advantage of FruityFruits against its competitors?
How do FruityFruits' expertise and capabilities align with the identified opportunity?</t>
  </si>
  <si>
    <t>Interviews with FruityFruits internal manufacturing team to identify cost reductions</t>
  </si>
  <si>
    <t>Survey:</t>
  </si>
  <si>
    <r>
      <rPr>
        <sz val="12"/>
        <color theme="1"/>
        <rFont val="Calibri"/>
      </rPr>
      <t xml:space="preserve">Online survey sent to various stakeholders to fill out; results are analyzed by L.E.K. team
</t>
    </r>
    <r>
      <rPr>
        <b/>
        <sz val="12"/>
        <color theme="1"/>
        <rFont val="Calibri"/>
      </rPr>
      <t>• Typically take 3 weeks to complete
• Typically conducted by 2nd, 3rd, or 4th year Associates</t>
    </r>
    <r>
      <rPr>
        <sz val="12"/>
        <color theme="1"/>
        <rFont val="Calibri"/>
      </rPr>
      <t xml:space="preserve">
</t>
    </r>
    <r>
      <rPr>
        <b/>
        <sz val="12"/>
        <color theme="1"/>
        <rFont val="Calibri"/>
      </rPr>
      <t>• Take up ~75% of Associate's time (but multiple surveys can be run concurrently)</t>
    </r>
  </si>
  <si>
    <t>Survey to assess customer price sensitivity</t>
  </si>
  <si>
    <t>Survey to identify inefficiencies in FruityFruits distribution process</t>
  </si>
  <si>
    <t>Survey to assess geographic distribution of different types of fruit products</t>
  </si>
  <si>
    <t>Survey to asses customer perception of loyalty programs for fruit products</t>
  </si>
  <si>
    <t>Model:</t>
  </si>
  <si>
    <r>
      <rPr>
        <sz val="12"/>
        <color theme="1"/>
        <rFont val="Calibri"/>
      </rPr>
      <t xml:space="preserve">Quantitative excel model built by L.E.K. team to create a forecast or size a market
</t>
    </r>
    <r>
      <rPr>
        <b/>
        <sz val="12"/>
        <color theme="1"/>
        <rFont val="Calibri"/>
      </rPr>
      <t>• Typically take 3 weeks to complete
• Typically conducted by 2nd, 3rd, or 4th year Associates
• Takes up ~75% of Associate's time, but can can be done concurently with secondary reseach or second model (if not overly complex)</t>
    </r>
  </si>
  <si>
    <t>Model building to size freeze dried fruit market</t>
  </si>
  <si>
    <t>Yes 
Owner(s): Wilma, Matt</t>
  </si>
  <si>
    <t>Work split: 90% Wilma, 10% Matt
Matt will shadow Wilma to learn best practices to learn best practices</t>
  </si>
  <si>
    <t>Model building to size gummy fruit snacks market</t>
  </si>
  <si>
    <t>Model building to size fresh fruit market</t>
  </si>
  <si>
    <t>Model building to size FruityFruits's expansion opportunity</t>
  </si>
  <si>
    <t xml:space="preserve">What is the estimated overall market size and FruityFruit's market share for the new product?
What is the estimated revenue and profit potential for the new product?
</t>
  </si>
  <si>
    <t>Yes 
Owner(s): Matt</t>
  </si>
  <si>
    <t>Secondary research</t>
  </si>
  <si>
    <r>
      <rPr>
        <sz val="12"/>
        <color theme="1"/>
        <rFont val="Calibri"/>
      </rPr>
      <t xml:space="preserve">Secondary research to aggregate information or gather inputs for surveys / models. 
</t>
    </r>
    <r>
      <rPr>
        <b/>
        <sz val="12"/>
        <color theme="1"/>
        <rFont val="Calibri"/>
      </rPr>
      <t xml:space="preserve">• Typically take 1-3 weeks to complete </t>
    </r>
    <r>
      <rPr>
        <sz val="12"/>
        <color theme="1"/>
        <rFont val="Calibri"/>
      </rPr>
      <t xml:space="preserve">
</t>
    </r>
    <r>
      <rPr>
        <b/>
        <sz val="12"/>
        <color theme="1"/>
        <rFont val="Calibri"/>
      </rPr>
      <t>• Conducted by all Associate levels</t>
    </r>
    <r>
      <rPr>
        <sz val="12"/>
        <color theme="1"/>
        <rFont val="Calibri"/>
      </rPr>
      <t xml:space="preserve">
</t>
    </r>
    <r>
      <rPr>
        <b/>
        <sz val="12"/>
        <color theme="1"/>
        <rFont val="Calibri"/>
      </rPr>
      <t>• Take up &lt;20% of Associate's time, so can be done concurrently with most other activities</t>
    </r>
  </si>
  <si>
    <t>Secondary research to identify fruit products KPCs</t>
  </si>
  <si>
    <t>What factors do consumers consider when purchasing fruit products (e.g., taste, quality, price, packaging, etc.)?
What is the impact of these KPCs on purchasing behavior and brand loyalty?
How does FruityFruits's performance on the KPCs compared to competitors?
Which KPCs will each of these new products address?</t>
  </si>
  <si>
    <t>Work split: 50% Laura, 50% Matt 
Matt will supervise Laura</t>
  </si>
  <si>
    <t>Secondary research to identify geographic spread of FruityFruits competitors</t>
  </si>
  <si>
    <t>Secondary research to identify potential expansion opportunities</t>
  </si>
  <si>
    <t>What are the current offerings in the market and what gaps exist in consumer demand?
What are the trends and consumer preferences in the fruit snack market?
How do FruityFruits' expertise and capabilities align with the identified opportunity?</t>
  </si>
  <si>
    <t>Matt will start the interim research,
and hand it over to Jane
Jane will conclude the final research</t>
  </si>
  <si>
    <t>Secondary research for model inputs</t>
  </si>
  <si>
    <t>What are the trends and consumer preferences in the fruit snack market?
What are the current offerings in the market and what gaps exist in consumer demand?</t>
  </si>
  <si>
    <t>Geographic analysis</t>
  </si>
  <si>
    <r>
      <rPr>
        <sz val="12"/>
        <color theme="1"/>
        <rFont val="Calibri"/>
      </rPr>
      <t xml:space="preserve">Geographic analysis conducted in Tableau (data visualization software).
</t>
    </r>
    <r>
      <rPr>
        <b/>
        <sz val="12"/>
        <color theme="1"/>
        <rFont val="Calibri"/>
      </rPr>
      <t xml:space="preserve">• Typically takes 1 week to complete and ~75% of Associate's time
</t>
    </r>
    <r>
      <rPr>
        <b/>
        <sz val="12"/>
        <color theme="1"/>
        <rFont val="Calibri"/>
      </rPr>
      <t>• Conducted by 2nd, 3rd, or 4th year Associates</t>
    </r>
  </si>
  <si>
    <t xml:space="preserve">Geographic analysis to identify new geographic expansion areas for FruityFruits </t>
  </si>
  <si>
    <t>Pricing analysis</t>
  </si>
  <si>
    <r>
      <rPr>
        <sz val="12"/>
        <color theme="1"/>
        <rFont val="Calibri"/>
      </rPr>
      <t xml:space="preserve">Quantitative price sensitivity analysis done in Excel.
</t>
    </r>
    <r>
      <rPr>
        <b/>
        <sz val="12"/>
        <color theme="1"/>
        <rFont val="Calibri"/>
      </rPr>
      <t>• Typically takes 2 weeks to complete and ~75% of Associate's time
• Conducted by 2nd, 3rd, or 4th year Associates</t>
    </r>
  </si>
  <si>
    <t>Consumer price sensitivity analysis</t>
  </si>
  <si>
    <t>Client alignment</t>
  </si>
  <si>
    <r>
      <rPr>
        <sz val="12"/>
        <color theme="1"/>
        <rFont val="Calibri"/>
      </rPr>
      <t xml:space="preserve">Client alignment on key case issues (typically done during client readouts)
</t>
    </r>
    <r>
      <rPr>
        <b/>
        <sz val="12"/>
        <color theme="1"/>
        <rFont val="Calibri"/>
      </rPr>
      <t>• Typically done by 4th year Associates or Consultants / Managers</t>
    </r>
  </si>
  <si>
    <t>Finalize findings and recommendations report
Client meeting to align on an expansion opportunity for FruityFruits</t>
  </si>
  <si>
    <t>ALL</t>
  </si>
  <si>
    <t>Yes 
Owner(s): Wilma</t>
  </si>
  <si>
    <t>Yes 
Owner(s): Shivam</t>
  </si>
  <si>
    <t>Wilma will present the interim presentation
Shivam will present the final presentation</t>
  </si>
  <si>
    <t>Associate</t>
  </si>
  <si>
    <t>Metrics</t>
  </si>
  <si>
    <t>Total
Time</t>
  </si>
  <si>
    <t>Jane</t>
  </si>
  <si>
    <t>Time</t>
  </si>
  <si>
    <t>Utilization</t>
  </si>
  <si>
    <t>Matt</t>
  </si>
  <si>
    <t>Wilma</t>
  </si>
  <si>
    <t>▲</t>
  </si>
  <si>
    <t xml:space="preserve">                                 ▲</t>
  </si>
  <si>
    <t>Interim client readout</t>
  </si>
  <si>
    <t>Final client readout</t>
  </si>
  <si>
    <r>
      <rPr>
        <sz val="12"/>
        <color theme="1"/>
        <rFont val="Calibri"/>
      </rPr>
      <t>Readout content:</t>
    </r>
    <r>
      <rPr>
        <i/>
        <sz val="12"/>
        <color theme="1"/>
        <rFont val="Calibri"/>
      </rPr>
      <t xml:space="preserve">
1. New product opportunity identified
2. Market sizing and forecasting for the new product, including demand and revenue potential
3. How the new product opportunity fits into FruityFruits' overall portfolio strategy and supports their long-term business objectives
4. Risks and challenges associated with entering the new market and recommendations for mitigating these risks
5. Suggested next steps: Go-to-market startegy for new product</t>
    </r>
  </si>
  <si>
    <r>
      <t xml:space="preserve">Readout content:
</t>
    </r>
    <r>
      <rPr>
        <i/>
        <sz val="12"/>
        <color theme="1"/>
        <rFont val="Calibri"/>
      </rPr>
      <t xml:space="preserve">1. Current market size and segmentation for fresh cut and freeze dried fruits
2. Identification of the key purchasing criteria (KPCs) for fruit products
3. FruityFruits' performance relative to competitors on these KPCs
</t>
    </r>
    <r>
      <rPr>
        <i/>
        <sz val="12"/>
        <color theme="1"/>
        <rFont val="Calibri"/>
        <family val="2"/>
      </rPr>
      <t>4. Alignment on potential expansion opportunities agreed upon with FruityFruits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</si>
</sst>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b/>
      <sz val="13"/>
      <color theme="0"/>
      <name val="Calibri"/>
    </font>
    <font>
      <sz val="11"/>
      <color theme="0"/>
      <name val="Calibri"/>
    </font>
    <font>
      <b/>
      <sz val="11"/>
      <color theme="1"/>
      <name val="Calibri"/>
    </font>
    <font>
      <b/>
      <sz val="12"/>
      <color theme="0"/>
      <name val="Calibri"/>
    </font>
    <font>
      <sz val="11"/>
      <color theme="1"/>
      <name val="Calibri"/>
    </font>
    <font>
      <sz val="11"/>
      <name val="Calibri"/>
    </font>
    <font>
      <sz val="12"/>
      <color theme="0"/>
      <name val="Calibri"/>
    </font>
    <font>
      <sz val="11"/>
      <color rgb="FF000000"/>
      <name val="Calibri"/>
    </font>
    <font>
      <sz val="10"/>
      <color rgb="FF000000"/>
      <name val="Noto Sans Symbols"/>
    </font>
    <font>
      <sz val="12"/>
      <color theme="1"/>
      <name val="Calibri"/>
    </font>
    <font>
      <b/>
      <sz val="12"/>
      <color theme="1"/>
      <name val="Calibri"/>
    </font>
    <font>
      <i/>
      <sz val="12"/>
      <color rgb="FF595959"/>
      <name val="Calibri"/>
    </font>
    <font>
      <i/>
      <sz val="12"/>
      <color theme="1"/>
      <name val="Calibri"/>
    </font>
    <font>
      <sz val="12"/>
      <color rgb="FFFF0000"/>
      <name val="Calibri"/>
    </font>
    <font>
      <sz val="11"/>
      <color theme="1"/>
      <name val="Calibri"/>
      <scheme val="minor"/>
    </font>
    <font>
      <b/>
      <u/>
      <sz val="12"/>
      <color theme="1"/>
      <name val="Calibri"/>
    </font>
    <font>
      <i/>
      <sz val="12"/>
      <color theme="1"/>
      <name val="Calibri"/>
      <family val="2"/>
    </font>
    <font>
      <sz val="12"/>
      <color theme="1"/>
      <name val="Calibri"/>
      <family val="2"/>
    </font>
  </fonts>
  <fills count="12">
    <fill>
      <patternFill patternType="none"/>
    </fill>
    <fill>
      <patternFill patternType="gray125"/>
    </fill>
    <fill>
      <patternFill patternType="solid">
        <fgColor rgb="FF00B852"/>
        <bgColor rgb="FF00B852"/>
      </patternFill>
    </fill>
    <fill>
      <patternFill patternType="solid">
        <fgColor rgb="FF076B3B"/>
        <bgColor rgb="FF076B3B"/>
      </patternFill>
    </fill>
    <fill>
      <patternFill patternType="solid">
        <fgColor rgb="FF327FEF"/>
        <bgColor rgb="FF327FEF"/>
      </patternFill>
    </fill>
    <fill>
      <patternFill patternType="solid">
        <fgColor rgb="FF7030A0"/>
        <bgColor rgb="FF7030A0"/>
      </patternFill>
    </fill>
    <fill>
      <patternFill patternType="solid">
        <fgColor rgb="FF2E75B5"/>
        <bgColor rgb="FF2E75B5"/>
      </patternFill>
    </fill>
    <fill>
      <patternFill patternType="solid">
        <fgColor rgb="FFD6E5FC"/>
        <bgColor rgb="FFD6E5FC"/>
      </patternFill>
    </fill>
    <fill>
      <patternFill patternType="solid">
        <fgColor rgb="FFFEF2CB"/>
        <bgColor rgb="FFFEF2CB"/>
      </patternFill>
    </fill>
    <fill>
      <patternFill patternType="solid">
        <fgColor rgb="FFDEEAF6"/>
        <bgColor rgb="FFDEEAF6"/>
      </patternFill>
    </fill>
    <fill>
      <patternFill patternType="solid">
        <fgColor rgb="FFE2EFD9"/>
        <bgColor rgb="FFE2EFD9"/>
      </patternFill>
    </fill>
    <fill>
      <patternFill patternType="solid">
        <fgColor theme="0"/>
        <bgColor theme="0"/>
      </patternFill>
    </fill>
  </fills>
  <borders count="44">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top/>
      <bottom/>
      <diagonal/>
    </border>
    <border>
      <left style="thin">
        <color rgb="FF000000"/>
      </left>
      <right/>
      <top/>
      <bottom/>
      <diagonal/>
    </border>
    <border>
      <left style="thin">
        <color rgb="FFFFFFFF"/>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diagonal/>
    </border>
    <border>
      <left/>
      <right/>
      <top/>
      <bottom/>
      <diagonal/>
    </border>
    <border>
      <left style="thin">
        <color rgb="FF000000"/>
      </left>
      <right style="thin">
        <color rgb="FFFF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7F7F7F"/>
      </right>
      <top style="thin">
        <color rgb="FF000000"/>
      </top>
      <bottom style="thin">
        <color rgb="FF7F7F7F"/>
      </bottom>
      <diagonal/>
    </border>
    <border>
      <left style="thin">
        <color rgb="FF7F7F7F"/>
      </left>
      <right style="thin">
        <color rgb="FF7F7F7F"/>
      </right>
      <top style="thin">
        <color rgb="FF000000"/>
      </top>
      <bottom style="thin">
        <color rgb="FF7F7F7F"/>
      </bottom>
      <diagonal/>
    </border>
    <border>
      <left style="thin">
        <color rgb="FF7F7F7F"/>
      </left>
      <right style="thin">
        <color rgb="FF000000"/>
      </right>
      <top style="thin">
        <color rgb="FF000000"/>
      </top>
      <bottom style="thin">
        <color rgb="FF7F7F7F"/>
      </bottom>
      <diagonal/>
    </border>
    <border>
      <left/>
      <right style="thin">
        <color rgb="FF000000"/>
      </right>
      <top/>
      <bottom/>
      <diagonal/>
    </border>
    <border>
      <left/>
      <right/>
      <top/>
      <bottom/>
      <diagonal/>
    </border>
    <border>
      <left style="thin">
        <color rgb="FF000000"/>
      </left>
      <right style="thin">
        <color rgb="FF7F7F7F"/>
      </right>
      <top style="thin">
        <color rgb="FF7F7F7F"/>
      </top>
      <bottom style="thin">
        <color rgb="FF000000"/>
      </bottom>
      <diagonal/>
    </border>
    <border>
      <left style="thin">
        <color rgb="FF7F7F7F"/>
      </left>
      <right style="thin">
        <color rgb="FF7F7F7F"/>
      </right>
      <top style="thin">
        <color rgb="FF7F7F7F"/>
      </top>
      <bottom style="thin">
        <color rgb="FF000000"/>
      </bottom>
      <diagonal/>
    </border>
    <border>
      <left style="thin">
        <color rgb="FF7F7F7F"/>
      </left>
      <right style="thin">
        <color rgb="FF000000"/>
      </right>
      <top style="thin">
        <color rgb="FF7F7F7F"/>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0000"/>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19">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4" fillId="3" borderId="2" xfId="0" applyFont="1" applyFill="1" applyBorder="1"/>
    <xf numFmtId="0" fontId="2" fillId="3" borderId="3" xfId="0" applyFont="1" applyFill="1" applyBorder="1"/>
    <xf numFmtId="0" fontId="2" fillId="3" borderId="4" xfId="0" applyFont="1" applyFill="1" applyBorder="1"/>
    <xf numFmtId="0" fontId="5" fillId="0" borderId="0" xfId="0" applyFont="1" applyAlignment="1">
      <alignment vertical="center"/>
    </xf>
    <xf numFmtId="0" fontId="4" fillId="3" borderId="1" xfId="0" applyFont="1" applyFill="1" applyBorder="1"/>
    <xf numFmtId="0" fontId="2" fillId="3" borderId="1" xfId="0" applyFont="1" applyFill="1" applyBorder="1" applyAlignment="1">
      <alignment vertical="center"/>
    </xf>
    <xf numFmtId="0" fontId="2" fillId="3" borderId="1" xfId="0" applyFont="1" applyFill="1" applyBorder="1"/>
    <xf numFmtId="0" fontId="5" fillId="0" borderId="8" xfId="0" applyFont="1" applyBorder="1" applyAlignment="1">
      <alignment horizontal="left"/>
    </xf>
    <xf numFmtId="0" fontId="5" fillId="0" borderId="9" xfId="0" applyFont="1" applyBorder="1" applyAlignment="1">
      <alignment vertical="center"/>
    </xf>
    <xf numFmtId="0" fontId="5" fillId="0" borderId="10" xfId="0" applyFont="1" applyBorder="1"/>
    <xf numFmtId="0" fontId="4" fillId="4" borderId="1" xfId="0" applyFont="1" applyFill="1" applyBorder="1"/>
    <xf numFmtId="0" fontId="7" fillId="4" borderId="1" xfId="0" applyFont="1" applyFill="1" applyBorder="1"/>
    <xf numFmtId="0" fontId="3"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wrapText="1"/>
    </xf>
    <xf numFmtId="0" fontId="3" fillId="0" borderId="11" xfId="0" applyFont="1" applyBorder="1" applyAlignment="1">
      <alignment vertical="center"/>
    </xf>
    <xf numFmtId="0" fontId="5" fillId="0" borderId="11" xfId="0" applyFont="1" applyBorder="1" applyAlignment="1">
      <alignment vertical="center"/>
    </xf>
    <xf numFmtId="0" fontId="5" fillId="0" borderId="11" xfId="0" applyFont="1" applyBorder="1"/>
    <xf numFmtId="0" fontId="5" fillId="0" borderId="11" xfId="0" applyFont="1" applyBorder="1" applyAlignment="1">
      <alignment horizontal="center" vertical="center"/>
    </xf>
    <xf numFmtId="0" fontId="5" fillId="0" borderId="11" xfId="0" applyFont="1" applyBorder="1" applyAlignment="1">
      <alignment vertical="center" wrapText="1"/>
    </xf>
    <xf numFmtId="0" fontId="8" fillId="0" borderId="0" xfId="0" applyFont="1" applyAlignment="1">
      <alignment horizontal="center"/>
    </xf>
    <xf numFmtId="0" fontId="5" fillId="0" borderId="0" xfId="0" applyFont="1" applyAlignment="1">
      <alignment horizontal="left" vertical="center" wrapText="1"/>
    </xf>
    <xf numFmtId="0" fontId="9" fillId="0" borderId="0" xfId="0" applyFont="1" applyAlignment="1">
      <alignment horizontal="left" vertical="center"/>
    </xf>
    <xf numFmtId="0" fontId="5" fillId="0" borderId="0" xfId="0" applyFont="1" applyAlignment="1">
      <alignment wrapText="1"/>
    </xf>
    <xf numFmtId="0" fontId="7" fillId="2" borderId="1" xfId="0" applyFont="1" applyFill="1" applyBorder="1" applyAlignment="1">
      <alignment wrapText="1"/>
    </xf>
    <xf numFmtId="0" fontId="10" fillId="0" borderId="0" xfId="0" applyFont="1" applyAlignment="1">
      <alignment wrapText="1"/>
    </xf>
    <xf numFmtId="0" fontId="4" fillId="5" borderId="1" xfId="0" applyFont="1" applyFill="1" applyBorder="1" applyAlignment="1">
      <alignment vertical="center" wrapText="1"/>
    </xf>
    <xf numFmtId="0" fontId="10" fillId="5" borderId="1" xfId="0" applyFont="1" applyFill="1" applyBorder="1" applyAlignment="1">
      <alignment wrapText="1"/>
    </xf>
    <xf numFmtId="0" fontId="11" fillId="0" borderId="0" xfId="0" applyFont="1" applyAlignment="1">
      <alignment horizontal="left" vertical="top" wrapText="1"/>
    </xf>
    <xf numFmtId="0" fontId="11"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wrapText="1"/>
    </xf>
    <xf numFmtId="0" fontId="7" fillId="5" borderId="1" xfId="0" applyFont="1" applyFill="1" applyBorder="1" applyAlignment="1">
      <alignment wrapText="1"/>
    </xf>
    <xf numFmtId="0" fontId="10" fillId="0" borderId="0" xfId="0" applyFont="1" applyAlignment="1">
      <alignment vertical="center" wrapText="1"/>
    </xf>
    <xf numFmtId="0" fontId="11" fillId="0" borderId="15" xfId="0" applyFont="1" applyBorder="1" applyAlignment="1">
      <alignment horizontal="center" vertical="center" wrapText="1"/>
    </xf>
    <xf numFmtId="0" fontId="11" fillId="0" borderId="0" xfId="0" applyFont="1" applyAlignment="1">
      <alignment wrapText="1"/>
    </xf>
    <xf numFmtId="0" fontId="4" fillId="6" borderId="12" xfId="0" applyFont="1" applyFill="1" applyBorder="1" applyAlignment="1">
      <alignment vertical="center" wrapText="1"/>
    </xf>
    <xf numFmtId="0" fontId="7" fillId="6" borderId="16" xfId="0" applyFont="1" applyFill="1" applyBorder="1" applyAlignment="1">
      <alignment wrapText="1"/>
    </xf>
    <xf numFmtId="0" fontId="7" fillId="6" borderId="0" xfId="0" applyFont="1" applyFill="1" applyAlignment="1">
      <alignment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0" fillId="8" borderId="2" xfId="0" applyFont="1" applyFill="1" applyBorder="1" applyAlignment="1">
      <alignment wrapText="1"/>
    </xf>
    <xf numFmtId="0" fontId="11" fillId="8" borderId="3" xfId="0" applyFont="1" applyFill="1" applyBorder="1" applyAlignment="1">
      <alignment horizontal="left" vertical="center" wrapText="1"/>
    </xf>
    <xf numFmtId="0" fontId="10" fillId="8" borderId="3" xfId="0" applyFont="1" applyFill="1" applyBorder="1" applyAlignment="1">
      <alignment wrapText="1"/>
    </xf>
    <xf numFmtId="0" fontId="10" fillId="8" borderId="4" xfId="0" applyFont="1" applyFill="1" applyBorder="1" applyAlignment="1">
      <alignment wrapText="1"/>
    </xf>
    <xf numFmtId="0" fontId="11" fillId="9" borderId="16" xfId="0" applyFont="1" applyFill="1" applyBorder="1" applyAlignment="1">
      <alignment horizontal="center" vertical="center" wrapText="1"/>
    </xf>
    <xf numFmtId="0" fontId="10" fillId="9" borderId="0" xfId="0" applyFont="1" applyFill="1" applyAlignment="1">
      <alignment horizontal="left" vertical="center" wrapText="1"/>
    </xf>
    <xf numFmtId="0" fontId="10" fillId="10" borderId="17"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10" fillId="0" borderId="21" xfId="0" applyFont="1" applyBorder="1" applyAlignment="1">
      <alignment horizontal="center" vertical="center" wrapText="1"/>
    </xf>
    <xf numFmtId="0" fontId="10" fillId="0" borderId="17" xfId="0" applyFont="1" applyBorder="1" applyAlignment="1">
      <alignment horizontal="left" vertical="center" wrapText="1"/>
    </xf>
    <xf numFmtId="0" fontId="10" fillId="0" borderId="20" xfId="0" applyFont="1" applyBorder="1" applyAlignment="1">
      <alignment horizontal="left" vertical="center" wrapText="1"/>
    </xf>
    <xf numFmtId="0" fontId="10" fillId="0" borderId="0" xfId="0" applyFont="1" applyAlignment="1">
      <alignment horizontal="left" vertical="center" wrapText="1"/>
    </xf>
    <xf numFmtId="0" fontId="10" fillId="8" borderId="22" xfId="0" applyFont="1" applyFill="1" applyBorder="1" applyAlignment="1">
      <alignment wrapText="1"/>
    </xf>
    <xf numFmtId="0" fontId="11" fillId="7" borderId="23" xfId="0" applyFont="1" applyFill="1" applyBorder="1" applyAlignment="1">
      <alignment horizontal="center" vertical="center" wrapText="1"/>
    </xf>
    <xf numFmtId="0" fontId="11" fillId="7" borderId="24" xfId="0" applyFont="1" applyFill="1" applyBorder="1" applyAlignment="1">
      <alignment horizontal="center" vertical="center" wrapText="1"/>
    </xf>
    <xf numFmtId="0" fontId="11" fillId="7" borderId="25" xfId="0" applyFont="1" applyFill="1" applyBorder="1" applyAlignment="1">
      <alignment horizontal="center" vertical="center" wrapText="1"/>
    </xf>
    <xf numFmtId="0" fontId="10" fillId="8" borderId="26" xfId="0" applyFont="1" applyFill="1" applyBorder="1" applyAlignment="1">
      <alignment wrapText="1"/>
    </xf>
    <xf numFmtId="0" fontId="10" fillId="0" borderId="21" xfId="0" applyFont="1" applyBorder="1" applyAlignment="1">
      <alignment horizontal="left" vertical="center" wrapText="1"/>
    </xf>
    <xf numFmtId="0" fontId="10" fillId="10" borderId="28"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10" fillId="11" borderId="30" xfId="0" applyFont="1" applyFill="1" applyBorder="1" applyAlignment="1">
      <alignment wrapText="1"/>
    </xf>
    <xf numFmtId="0" fontId="10" fillId="10" borderId="21" xfId="0" applyFont="1" applyFill="1" applyBorder="1" applyAlignment="1">
      <alignment horizontal="center" vertical="center" wrapText="1"/>
    </xf>
    <xf numFmtId="0" fontId="10" fillId="8" borderId="37" xfId="0" applyFont="1" applyFill="1" applyBorder="1" applyAlignment="1">
      <alignment wrapText="1"/>
    </xf>
    <xf numFmtId="0" fontId="10" fillId="8" borderId="38" xfId="0" applyFont="1" applyFill="1" applyBorder="1" applyAlignment="1">
      <alignment wrapText="1"/>
    </xf>
    <xf numFmtId="0" fontId="10" fillId="8" borderId="39" xfId="0" applyFont="1" applyFill="1" applyBorder="1" applyAlignment="1">
      <alignment wrapText="1"/>
    </xf>
    <xf numFmtId="0" fontId="7" fillId="6" borderId="0" xfId="0" applyFont="1" applyFill="1" applyAlignment="1">
      <alignment horizontal="left" vertical="center" wrapText="1"/>
    </xf>
    <xf numFmtId="0" fontId="10" fillId="0" borderId="40" xfId="0" applyFont="1" applyBorder="1" applyAlignment="1">
      <alignment wrapText="1"/>
    </xf>
    <xf numFmtId="0" fontId="10" fillId="0" borderId="17" xfId="0" applyFont="1" applyBorder="1" applyAlignment="1">
      <alignment horizontal="center" vertical="center" wrapText="1"/>
    </xf>
    <xf numFmtId="0" fontId="10" fillId="0" borderId="20" xfId="0" applyFont="1" applyBorder="1" applyAlignment="1">
      <alignment horizontal="center" vertical="center" wrapText="1"/>
    </xf>
    <xf numFmtId="0" fontId="13" fillId="0" borderId="0" xfId="0" applyFont="1" applyAlignment="1">
      <alignment vertical="top" wrapText="1"/>
    </xf>
    <xf numFmtId="0" fontId="10" fillId="0" borderId="41" xfId="0" applyFont="1" applyBorder="1" applyAlignment="1">
      <alignment horizontal="left" vertical="center" wrapText="1"/>
    </xf>
    <xf numFmtId="0" fontId="14" fillId="0" borderId="0" xfId="0" applyFont="1" applyAlignment="1">
      <alignment horizontal="center" vertical="center" wrapText="1"/>
    </xf>
    <xf numFmtId="0" fontId="10" fillId="0" borderId="0" xfId="0" applyFont="1" applyAlignment="1">
      <alignment vertical="top" wrapText="1"/>
    </xf>
    <xf numFmtId="0" fontId="10" fillId="0" borderId="21" xfId="0" applyFont="1" applyBorder="1" applyAlignment="1">
      <alignment wrapText="1"/>
    </xf>
    <xf numFmtId="0" fontId="11" fillId="9" borderId="12" xfId="0" applyFont="1" applyFill="1" applyBorder="1" applyAlignment="1">
      <alignment vertical="center" wrapText="1"/>
    </xf>
    <xf numFmtId="0" fontId="10" fillId="9" borderId="12" xfId="0" applyFont="1" applyFill="1" applyBorder="1" applyAlignment="1">
      <alignment vertical="center" wrapText="1"/>
    </xf>
    <xf numFmtId="0" fontId="4" fillId="6" borderId="16" xfId="0" applyFont="1" applyFill="1" applyBorder="1" applyAlignment="1">
      <alignment wrapText="1"/>
    </xf>
    <xf numFmtId="0" fontId="4" fillId="6" borderId="0" xfId="0" applyFont="1" applyFill="1" applyAlignment="1">
      <alignment horizontal="left" vertical="center" wrapText="1"/>
    </xf>
    <xf numFmtId="0" fontId="4" fillId="6" borderId="17" xfId="0" applyFont="1" applyFill="1" applyBorder="1" applyAlignment="1">
      <alignment wrapText="1"/>
    </xf>
    <xf numFmtId="0" fontId="7" fillId="6" borderId="17" xfId="0" applyFont="1" applyFill="1" applyBorder="1" applyAlignment="1">
      <alignment wrapText="1"/>
    </xf>
    <xf numFmtId="0" fontId="7" fillId="6" borderId="20" xfId="0" applyFont="1" applyFill="1" applyBorder="1" applyAlignment="1">
      <alignment wrapText="1"/>
    </xf>
    <xf numFmtId="0" fontId="7" fillId="6" borderId="21" xfId="0" applyFont="1" applyFill="1" applyBorder="1" applyAlignment="1">
      <alignment wrapText="1"/>
    </xf>
    <xf numFmtId="0" fontId="4" fillId="6" borderId="21" xfId="0" applyFont="1" applyFill="1" applyBorder="1" applyAlignment="1">
      <alignment wrapText="1"/>
    </xf>
    <xf numFmtId="0" fontId="11" fillId="9" borderId="17" xfId="0" applyFont="1" applyFill="1" applyBorder="1" applyAlignment="1">
      <alignment wrapText="1"/>
    </xf>
    <xf numFmtId="0" fontId="10" fillId="0" borderId="17" xfId="0" applyFont="1" applyBorder="1" applyAlignment="1">
      <alignment wrapText="1"/>
    </xf>
    <xf numFmtId="0" fontId="10" fillId="0" borderId="20" xfId="0" applyFont="1" applyBorder="1" applyAlignment="1">
      <alignment wrapText="1"/>
    </xf>
    <xf numFmtId="0" fontId="15" fillId="0" borderId="21" xfId="0" applyFont="1" applyBorder="1" applyAlignment="1">
      <alignment wrapText="1"/>
    </xf>
    <xf numFmtId="0" fontId="14" fillId="0" borderId="0" xfId="0" applyFont="1" applyAlignment="1">
      <alignment vertical="top" wrapText="1"/>
    </xf>
    <xf numFmtId="0" fontId="14" fillId="0" borderId="0" xfId="0" applyFont="1" applyAlignment="1">
      <alignment vertical="center" wrapText="1"/>
    </xf>
    <xf numFmtId="0" fontId="5" fillId="0" borderId="5" xfId="0" applyFont="1" applyBorder="1" applyAlignment="1">
      <alignment horizontal="left" vertical="center" wrapText="1"/>
    </xf>
    <xf numFmtId="0" fontId="6" fillId="0" borderId="6" xfId="0" applyFont="1" applyBorder="1"/>
    <xf numFmtId="0" fontId="6" fillId="0" borderId="7" xfId="0" applyFont="1" applyBorder="1"/>
    <xf numFmtId="0" fontId="11" fillId="0" borderId="0" xfId="0" applyFont="1" applyAlignment="1">
      <alignment horizontal="left" vertical="center" wrapText="1"/>
    </xf>
    <xf numFmtId="0" fontId="0" fillId="0" borderId="0" xfId="0"/>
    <xf numFmtId="0" fontId="10" fillId="9" borderId="19" xfId="0" applyFont="1" applyFill="1" applyBorder="1" applyAlignment="1">
      <alignment horizontal="left" vertical="center" wrapText="1"/>
    </xf>
    <xf numFmtId="0" fontId="6" fillId="0" borderId="27" xfId="0" applyFont="1" applyBorder="1"/>
    <xf numFmtId="0" fontId="6" fillId="0" borderId="34" xfId="0" applyFont="1" applyBorder="1"/>
    <xf numFmtId="0" fontId="13" fillId="8" borderId="31" xfId="0" applyFont="1" applyFill="1" applyBorder="1" applyAlignment="1">
      <alignment horizontal="left" vertical="center" wrapText="1"/>
    </xf>
    <xf numFmtId="0" fontId="6" fillId="0" borderId="32" xfId="0" applyFont="1" applyBorder="1"/>
    <xf numFmtId="0" fontId="6" fillId="0" borderId="35" xfId="0" applyFont="1" applyBorder="1"/>
    <xf numFmtId="0" fontId="13" fillId="8" borderId="33" xfId="0" applyFont="1" applyFill="1" applyBorder="1" applyAlignment="1">
      <alignment horizontal="right" vertical="center" wrapText="1"/>
    </xf>
    <xf numFmtId="0" fontId="6" fillId="0" borderId="36" xfId="0" applyFont="1" applyBorder="1"/>
    <xf numFmtId="0" fontId="11" fillId="0" borderId="0" xfId="0" applyFont="1" applyAlignment="1">
      <alignment horizontal="left" vertical="top" wrapText="1"/>
    </xf>
    <xf numFmtId="0" fontId="4" fillId="2" borderId="12" xfId="0" applyFont="1" applyFill="1" applyBorder="1" applyAlignment="1">
      <alignment wrapText="1"/>
    </xf>
    <xf numFmtId="0" fontId="6" fillId="0" borderId="13" xfId="0" applyFont="1" applyBorder="1"/>
    <xf numFmtId="0" fontId="6" fillId="0" borderId="14" xfId="0" applyFont="1" applyBorder="1"/>
    <xf numFmtId="0" fontId="14" fillId="0" borderId="0" xfId="0" applyFont="1" applyAlignment="1">
      <alignment horizontal="center" vertical="top" wrapText="1"/>
    </xf>
    <xf numFmtId="0" fontId="11" fillId="9" borderId="42" xfId="0" applyFont="1" applyFill="1" applyBorder="1" applyAlignment="1">
      <alignment vertical="center" wrapText="1"/>
    </xf>
    <xf numFmtId="0" fontId="6" fillId="0" borderId="43" xfId="0" applyFont="1" applyBorder="1"/>
    <xf numFmtId="0" fontId="14" fillId="0" borderId="0" xfId="0" applyFont="1" applyAlignment="1">
      <alignment horizontal="left" vertical="top" wrapText="1"/>
    </xf>
    <xf numFmtId="0" fontId="14" fillId="0" borderId="0" xfId="0" applyFont="1" applyAlignment="1">
      <alignment horizontal="left" vertical="center" wrapText="1"/>
    </xf>
    <xf numFmtId="0" fontId="13" fillId="0" borderId="0" xfId="0" applyFont="1" applyAlignment="1">
      <alignment horizontal="left" vertical="top" wrapText="1"/>
    </xf>
    <xf numFmtId="0" fontId="18"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showGridLines="0" topLeftCell="A5" workbookViewId="0"/>
  </sheetViews>
  <sheetFormatPr defaultColWidth="14.453125" defaultRowHeight="15" customHeight="1"/>
  <cols>
    <col min="1" max="1" width="2.7265625" customWidth="1"/>
    <col min="2" max="2" width="24.81640625" customWidth="1"/>
    <col min="3" max="3" width="8.7265625" customWidth="1"/>
    <col min="4" max="4" width="18.7265625" customWidth="1"/>
    <col min="5" max="5" width="22.08984375" customWidth="1"/>
    <col min="6" max="6" width="137.453125" customWidth="1"/>
    <col min="7" max="7" width="8.81640625" customWidth="1"/>
    <col min="8" max="8" width="8.7265625" customWidth="1"/>
    <col min="9" max="9" width="5.54296875" customWidth="1"/>
    <col min="10" max="10" width="48.7265625" customWidth="1"/>
    <col min="11" max="26" width="8.7265625" customWidth="1"/>
  </cols>
  <sheetData>
    <row r="1" spans="1:19" ht="14.25" customHeight="1">
      <c r="A1" s="1" t="s">
        <v>0</v>
      </c>
      <c r="B1" s="2"/>
      <c r="C1" s="2"/>
      <c r="D1" s="2"/>
      <c r="E1" s="2"/>
      <c r="F1" s="2"/>
      <c r="G1" s="2"/>
      <c r="H1" s="2"/>
      <c r="I1" s="2"/>
      <c r="J1" s="2"/>
      <c r="K1" s="2"/>
      <c r="L1" s="2"/>
      <c r="M1" s="2"/>
      <c r="N1" s="2"/>
      <c r="O1" s="2"/>
      <c r="P1" s="2"/>
      <c r="Q1" s="2"/>
      <c r="R1" s="2"/>
      <c r="S1" s="2"/>
    </row>
    <row r="2" spans="1:19" ht="14.25" customHeight="1">
      <c r="B2" s="3"/>
    </row>
    <row r="3" spans="1:19" ht="14.25" customHeight="1"/>
    <row r="4" spans="1:19" ht="14.25" customHeight="1">
      <c r="B4" s="4" t="s">
        <v>1</v>
      </c>
      <c r="C4" s="5"/>
      <c r="D4" s="5"/>
      <c r="E4" s="5"/>
      <c r="F4" s="6"/>
    </row>
    <row r="5" spans="1:19" ht="73.5" customHeight="1">
      <c r="B5" s="95" t="s">
        <v>2</v>
      </c>
      <c r="C5" s="96"/>
      <c r="D5" s="96"/>
      <c r="E5" s="96"/>
      <c r="F5" s="97"/>
    </row>
    <row r="6" spans="1:19" ht="14.25" customHeight="1">
      <c r="C6" s="7"/>
      <c r="D6" s="7"/>
      <c r="E6" s="7"/>
    </row>
    <row r="7" spans="1:19" ht="14.25" customHeight="1">
      <c r="C7" s="7"/>
      <c r="D7" s="7"/>
      <c r="E7" s="7"/>
    </row>
    <row r="8" spans="1:19" ht="14.25" customHeight="1">
      <c r="B8" s="8" t="s">
        <v>3</v>
      </c>
      <c r="C8" s="9"/>
      <c r="D8" s="9"/>
      <c r="E8" s="9"/>
      <c r="F8" s="10"/>
    </row>
    <row r="9" spans="1:19" ht="14.25" customHeight="1">
      <c r="B9" s="11" t="s">
        <v>4</v>
      </c>
      <c r="C9" s="12"/>
      <c r="D9" s="12"/>
      <c r="E9" s="12"/>
      <c r="F9" s="13"/>
    </row>
    <row r="10" spans="1:19" ht="14.25" customHeight="1">
      <c r="C10" s="7"/>
      <c r="D10" s="7"/>
      <c r="E10" s="7"/>
      <c r="F10" s="3"/>
    </row>
    <row r="11" spans="1:19" ht="14.25" customHeight="1">
      <c r="C11" s="7"/>
      <c r="D11" s="7"/>
      <c r="E11" s="7"/>
    </row>
    <row r="12" spans="1:19" ht="14.25" customHeight="1"/>
    <row r="13" spans="1:19" ht="14.25" customHeight="1">
      <c r="B13" s="14" t="s">
        <v>5</v>
      </c>
      <c r="C13" s="14" t="s">
        <v>6</v>
      </c>
      <c r="D13" s="15"/>
      <c r="E13" s="14" t="s">
        <v>7</v>
      </c>
      <c r="F13" s="14" t="s">
        <v>8</v>
      </c>
    </row>
    <row r="14" spans="1:19" ht="47.25" customHeight="1">
      <c r="B14" s="16" t="s">
        <v>9</v>
      </c>
      <c r="C14" s="7" t="s">
        <v>10</v>
      </c>
      <c r="E14" s="17" t="s">
        <v>11</v>
      </c>
      <c r="F14" s="18" t="s">
        <v>12</v>
      </c>
    </row>
    <row r="15" spans="1:19" ht="47.25" customHeight="1">
      <c r="B15" s="19" t="s">
        <v>13</v>
      </c>
      <c r="C15" s="20" t="s">
        <v>14</v>
      </c>
      <c r="D15" s="21"/>
      <c r="E15" s="22" t="s">
        <v>11</v>
      </c>
      <c r="F15" s="23" t="s">
        <v>15</v>
      </c>
    </row>
    <row r="16" spans="1:19" ht="47.25" customHeight="1">
      <c r="B16" s="16" t="s">
        <v>16</v>
      </c>
      <c r="C16" s="7" t="s">
        <v>17</v>
      </c>
      <c r="E16" s="24" t="s">
        <v>18</v>
      </c>
      <c r="F16" s="25" t="s">
        <v>19</v>
      </c>
      <c r="G16" s="26"/>
    </row>
    <row r="17" spans="2:7" ht="47.25" customHeight="1">
      <c r="B17" s="19" t="s">
        <v>20</v>
      </c>
      <c r="C17" s="20" t="s">
        <v>21</v>
      </c>
      <c r="D17" s="20"/>
      <c r="E17" s="22" t="s">
        <v>11</v>
      </c>
      <c r="F17" s="23" t="s">
        <v>22</v>
      </c>
      <c r="G17" s="26"/>
    </row>
    <row r="18" spans="2:7" ht="47.25" customHeight="1">
      <c r="B18" s="19" t="s">
        <v>23</v>
      </c>
      <c r="C18" s="20" t="s">
        <v>24</v>
      </c>
      <c r="D18" s="21"/>
      <c r="E18" s="22" t="s">
        <v>11</v>
      </c>
      <c r="F18" s="23" t="s">
        <v>25</v>
      </c>
      <c r="G18" s="26"/>
    </row>
    <row r="19" spans="2:7" ht="47.25" customHeight="1">
      <c r="B19" s="16" t="s">
        <v>26</v>
      </c>
      <c r="C19" s="7" t="s">
        <v>27</v>
      </c>
      <c r="E19" s="17" t="s">
        <v>11</v>
      </c>
      <c r="F19" s="18" t="s">
        <v>28</v>
      </c>
    </row>
    <row r="20" spans="2:7" ht="14.25" customHeight="1"/>
    <row r="21" spans="2:7" ht="14.25" customHeight="1">
      <c r="F21" s="27"/>
    </row>
    <row r="22" spans="2:7" ht="14.25" customHeight="1">
      <c r="F22" s="27"/>
    </row>
    <row r="23" spans="2:7" ht="14.25" customHeight="1">
      <c r="F23" s="27"/>
    </row>
    <row r="24" spans="2:7" ht="14.25" customHeight="1">
      <c r="F24" s="27"/>
    </row>
    <row r="25" spans="2:7" ht="14.25" customHeight="1"/>
    <row r="26" spans="2:7" ht="14.25" customHeight="1"/>
    <row r="27" spans="2:7" ht="14.25" customHeight="1"/>
    <row r="28" spans="2:7" ht="14.25" customHeight="1"/>
    <row r="29" spans="2:7" ht="14.25" customHeight="1"/>
    <row r="30" spans="2:7" ht="14.25" customHeight="1"/>
    <row r="31" spans="2:7" ht="14.25" customHeight="1"/>
    <row r="32" spans="2: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5:F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10"/>
  <sheetViews>
    <sheetView showGridLines="0" tabSelected="1" workbookViewId="0">
      <selection activeCell="B9" sqref="B9"/>
    </sheetView>
  </sheetViews>
  <sheetFormatPr defaultColWidth="14.453125" defaultRowHeight="15" customHeight="1"/>
  <cols>
    <col min="1" max="1" width="2.7265625" customWidth="1"/>
    <col min="2" max="2" width="98.54296875" customWidth="1"/>
    <col min="3" max="3" width="19" customWidth="1"/>
    <col min="4" max="4" width="52" customWidth="1"/>
    <col min="5" max="5" width="9" hidden="1" customWidth="1"/>
    <col min="6" max="6" width="103.81640625" hidden="1" customWidth="1"/>
    <col min="7" max="7" width="8.81640625" customWidth="1"/>
    <col min="8" max="9" width="13" hidden="1" customWidth="1"/>
    <col min="10" max="15" width="18.81640625" customWidth="1"/>
    <col min="16" max="16" width="5.81640625" customWidth="1"/>
    <col min="17" max="17" width="3.26953125" customWidth="1"/>
    <col min="18" max="18" width="38.453125" customWidth="1"/>
    <col min="19" max="19" width="18.81640625" customWidth="1"/>
    <col min="20" max="20" width="3.81640625" customWidth="1"/>
    <col min="21" max="22" width="21.81640625" customWidth="1"/>
    <col min="23" max="23" width="24.26953125" customWidth="1"/>
    <col min="24" max="24" width="3.453125" customWidth="1"/>
    <col min="25" max="28" width="8.7265625" customWidth="1"/>
  </cols>
  <sheetData>
    <row r="1" spans="1:28" ht="15.5">
      <c r="A1" s="109" t="s">
        <v>0</v>
      </c>
      <c r="B1" s="110"/>
      <c r="C1" s="110"/>
      <c r="D1" s="111"/>
      <c r="E1" s="28"/>
      <c r="F1" s="28"/>
      <c r="G1" s="28"/>
      <c r="H1" s="28"/>
      <c r="I1" s="28"/>
      <c r="J1" s="28"/>
      <c r="K1" s="28"/>
      <c r="L1" s="28"/>
      <c r="M1" s="28"/>
      <c r="N1" s="28"/>
      <c r="O1" s="28"/>
      <c r="P1" s="28"/>
      <c r="Q1" s="28"/>
      <c r="R1" s="28"/>
      <c r="S1" s="28"/>
      <c r="T1" s="28"/>
      <c r="U1" s="28"/>
      <c r="V1" s="29"/>
      <c r="W1" s="29"/>
      <c r="X1" s="29"/>
      <c r="Y1" s="29"/>
      <c r="Z1" s="29"/>
      <c r="AA1" s="29"/>
      <c r="AB1" s="29"/>
    </row>
    <row r="2" spans="1:28" ht="14.25" customHeight="1">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row>
    <row r="3" spans="1:28" ht="14.25" customHeight="1">
      <c r="A3" s="29"/>
      <c r="B3" s="30" t="s">
        <v>29</v>
      </c>
      <c r="C3" s="31"/>
      <c r="D3" s="31"/>
      <c r="E3" s="31"/>
      <c r="F3" s="31"/>
      <c r="G3" s="31"/>
      <c r="H3" s="31"/>
      <c r="I3" s="31"/>
      <c r="J3" s="31"/>
      <c r="K3" s="31"/>
      <c r="L3" s="31"/>
      <c r="M3" s="31"/>
      <c r="N3" s="31"/>
      <c r="O3" s="31"/>
      <c r="P3" s="31"/>
      <c r="Q3" s="31"/>
      <c r="R3" s="31"/>
      <c r="S3" s="31"/>
      <c r="T3" s="31"/>
      <c r="U3" s="31"/>
      <c r="V3" s="29"/>
      <c r="W3" s="29"/>
      <c r="X3" s="29"/>
      <c r="Y3" s="29"/>
      <c r="Z3" s="29"/>
      <c r="AA3" s="29"/>
      <c r="AB3" s="29"/>
    </row>
    <row r="4" spans="1:28" ht="51" customHeight="1">
      <c r="A4" s="29"/>
      <c r="B4" s="108" t="s">
        <v>30</v>
      </c>
      <c r="C4" s="99"/>
      <c r="D4" s="99"/>
      <c r="E4" s="32"/>
      <c r="F4" s="29"/>
      <c r="G4" s="29"/>
      <c r="H4" s="29"/>
      <c r="I4" s="29"/>
      <c r="J4" s="29"/>
      <c r="K4" s="29"/>
      <c r="L4" s="29"/>
      <c r="M4" s="29"/>
      <c r="N4" s="29"/>
      <c r="O4" s="29"/>
      <c r="P4" s="29"/>
      <c r="Q4" s="29"/>
      <c r="R4" s="29"/>
      <c r="S4" s="29"/>
      <c r="T4" s="29"/>
      <c r="U4" s="29"/>
      <c r="V4" s="29"/>
      <c r="W4" s="29"/>
      <c r="X4" s="29"/>
      <c r="Y4" s="29"/>
      <c r="Z4" s="29"/>
      <c r="AA4" s="29"/>
      <c r="AB4" s="29"/>
    </row>
    <row r="5" spans="1:28" ht="14.25" customHeight="1">
      <c r="A5" s="29"/>
      <c r="B5" s="33"/>
      <c r="C5" s="29"/>
      <c r="D5" s="29"/>
      <c r="E5" s="29"/>
      <c r="F5" s="29"/>
      <c r="G5" s="29"/>
      <c r="H5" s="29"/>
      <c r="I5" s="29"/>
      <c r="J5" s="29"/>
      <c r="K5" s="29"/>
      <c r="L5" s="29"/>
      <c r="M5" s="29"/>
      <c r="N5" s="29"/>
      <c r="O5" s="29"/>
      <c r="P5" s="29"/>
      <c r="Q5" s="29"/>
      <c r="R5" s="29"/>
      <c r="S5" s="29"/>
      <c r="T5" s="29"/>
      <c r="U5" s="29"/>
      <c r="V5" s="29"/>
      <c r="W5" s="29"/>
      <c r="X5" s="29"/>
      <c r="Y5" s="29"/>
      <c r="Z5" s="29"/>
      <c r="AA5" s="29"/>
      <c r="AB5" s="29"/>
    </row>
    <row r="6" spans="1:28" ht="14.25" customHeight="1">
      <c r="A6" s="29"/>
      <c r="B6" s="34" t="s">
        <v>31</v>
      </c>
      <c r="C6" s="29"/>
      <c r="D6" s="29"/>
      <c r="E6" s="29"/>
      <c r="F6" s="29"/>
      <c r="G6" s="29"/>
      <c r="H6" s="29"/>
      <c r="I6" s="29"/>
      <c r="J6" s="29"/>
      <c r="K6" s="29"/>
      <c r="L6" s="29"/>
      <c r="M6" s="29"/>
      <c r="N6" s="29"/>
      <c r="O6" s="29"/>
      <c r="P6" s="29"/>
      <c r="Q6" s="29"/>
      <c r="R6" s="29"/>
      <c r="S6" s="29"/>
      <c r="T6" s="29"/>
      <c r="U6" s="29"/>
      <c r="V6" s="29"/>
      <c r="W6" s="29"/>
      <c r="X6" s="29"/>
      <c r="Y6" s="29"/>
      <c r="Z6" s="29"/>
      <c r="AA6" s="29"/>
      <c r="AB6" s="29"/>
    </row>
    <row r="7" spans="1:28" ht="14.25" customHeight="1">
      <c r="A7" s="29"/>
      <c r="B7" s="35" t="s">
        <v>32</v>
      </c>
      <c r="C7" s="29"/>
      <c r="D7" s="29"/>
      <c r="E7" s="29"/>
      <c r="F7" s="29"/>
      <c r="G7" s="29"/>
      <c r="H7" s="29"/>
      <c r="I7" s="29"/>
      <c r="J7" s="29"/>
      <c r="K7" s="29"/>
      <c r="L7" s="29"/>
      <c r="M7" s="29"/>
      <c r="N7" s="29"/>
      <c r="O7" s="29"/>
      <c r="P7" s="29"/>
      <c r="Q7" s="29"/>
      <c r="R7" s="29"/>
      <c r="S7" s="29"/>
      <c r="T7" s="29"/>
      <c r="U7" s="29"/>
      <c r="V7" s="29"/>
      <c r="W7" s="29"/>
      <c r="X7" s="29"/>
      <c r="Y7" s="29"/>
      <c r="Z7" s="29"/>
      <c r="AA7" s="29"/>
      <c r="AB7" s="29"/>
    </row>
    <row r="8" spans="1:28" ht="14.25" customHeight="1">
      <c r="A8" s="29"/>
      <c r="B8" s="35" t="s">
        <v>33</v>
      </c>
      <c r="C8" s="29"/>
      <c r="D8" s="29"/>
      <c r="E8" s="29"/>
      <c r="F8" s="29"/>
      <c r="G8" s="29"/>
      <c r="H8" s="29"/>
      <c r="I8" s="29"/>
      <c r="J8" s="29"/>
      <c r="K8" s="29"/>
      <c r="L8" s="29"/>
      <c r="M8" s="29"/>
      <c r="N8" s="29"/>
      <c r="O8" s="29"/>
      <c r="P8" s="29"/>
      <c r="Q8" s="29"/>
      <c r="R8" s="29"/>
      <c r="S8" s="29"/>
      <c r="T8" s="29"/>
      <c r="U8" s="29"/>
      <c r="V8" s="29"/>
      <c r="W8" s="29"/>
      <c r="X8" s="29"/>
      <c r="Y8" s="29"/>
      <c r="Z8" s="29"/>
      <c r="AA8" s="29"/>
      <c r="AB8" s="29"/>
    </row>
    <row r="9" spans="1:28" ht="14.25" customHeight="1">
      <c r="A9" s="29"/>
      <c r="B9" s="35" t="s">
        <v>34</v>
      </c>
      <c r="C9" s="29"/>
      <c r="D9" s="29"/>
      <c r="E9" s="29"/>
      <c r="F9" s="29"/>
      <c r="G9" s="29"/>
      <c r="H9" s="29"/>
      <c r="I9" s="29"/>
      <c r="J9" s="29"/>
      <c r="K9" s="29"/>
      <c r="L9" s="29"/>
      <c r="M9" s="29"/>
      <c r="N9" s="29"/>
      <c r="O9" s="29"/>
      <c r="P9" s="29"/>
      <c r="Q9" s="29"/>
      <c r="R9" s="29"/>
      <c r="S9" s="29"/>
      <c r="T9" s="29"/>
      <c r="U9" s="29"/>
      <c r="V9" s="29"/>
      <c r="W9" s="29"/>
      <c r="X9" s="29"/>
      <c r="Y9" s="29"/>
      <c r="Z9" s="29"/>
      <c r="AA9" s="29"/>
      <c r="AB9" s="29"/>
    </row>
    <row r="10" spans="1:28" ht="14.25" customHeight="1">
      <c r="A10" s="29"/>
      <c r="B10" s="35" t="s">
        <v>35</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row>
    <row r="11" spans="1:28" ht="14.25" customHeight="1">
      <c r="A11" s="29"/>
      <c r="B11" s="35"/>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row>
    <row r="12" spans="1:28" ht="14.25" customHeight="1">
      <c r="A12" s="29"/>
      <c r="B12" s="34" t="s">
        <v>36</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row>
    <row r="13" spans="1:28" ht="14.25" customHeight="1">
      <c r="A13" s="29"/>
      <c r="B13" s="35" t="s">
        <v>37</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row>
    <row r="14" spans="1:28" ht="14.25" customHeight="1">
      <c r="A14" s="29"/>
      <c r="B14" s="35" t="s">
        <v>38</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row>
    <row r="15" spans="1:28" ht="14.25" customHeight="1">
      <c r="A15" s="29"/>
      <c r="B15" s="35" t="s">
        <v>39</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row>
    <row r="16" spans="1:28" ht="14.25" customHeight="1">
      <c r="A16" s="29"/>
      <c r="B16" s="35" t="s">
        <v>40</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row>
    <row r="17" spans="1:28" ht="14.25" customHeight="1">
      <c r="A17" s="29"/>
      <c r="B17" s="35" t="s">
        <v>41</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row>
    <row r="18" spans="1:28" ht="14.25" customHeight="1">
      <c r="A18" s="29"/>
      <c r="B18" s="34"/>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row>
    <row r="19" spans="1:28" ht="14.25" customHeight="1">
      <c r="A19" s="29"/>
      <c r="B19" s="34" t="s">
        <v>42</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row>
    <row r="20" spans="1:28" ht="14.25" customHeight="1">
      <c r="A20" s="29"/>
      <c r="B20" s="35" t="s">
        <v>43</v>
      </c>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14.25" customHeight="1">
      <c r="A21" s="29"/>
      <c r="B21" s="35" t="s">
        <v>44</v>
      </c>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row>
    <row r="22" spans="1:28" ht="14.25" customHeight="1">
      <c r="A22" s="29"/>
      <c r="B22" s="35" t="s">
        <v>45</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row>
    <row r="23" spans="1:28" ht="14.25" customHeight="1">
      <c r="A23" s="29"/>
      <c r="B23" s="35"/>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row>
    <row r="24" spans="1:28" ht="14.25" customHeight="1">
      <c r="A24" s="29"/>
      <c r="B24" s="34" t="s">
        <v>46</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row>
    <row r="25" spans="1:28" ht="14.25" customHeight="1">
      <c r="A25" s="29"/>
      <c r="B25" s="35" t="s">
        <v>47</v>
      </c>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row>
    <row r="26" spans="1:28" ht="14.25" customHeight="1">
      <c r="A26" s="29"/>
      <c r="B26" s="35" t="s">
        <v>48</v>
      </c>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row>
    <row r="27" spans="1:28" ht="14.25" customHeight="1">
      <c r="A27" s="29"/>
      <c r="B27" s="36" t="s">
        <v>49</v>
      </c>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row>
    <row r="28" spans="1:28" ht="14.2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row>
    <row r="29" spans="1:28" ht="14.2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row>
    <row r="30" spans="1:28" ht="14.25" customHeight="1">
      <c r="A30" s="29"/>
      <c r="B30" s="30" t="s">
        <v>50</v>
      </c>
      <c r="C30" s="37"/>
      <c r="D30" s="37"/>
      <c r="E30" s="37"/>
      <c r="F30" s="37"/>
      <c r="G30" s="37"/>
      <c r="H30" s="37"/>
      <c r="I30" s="37"/>
      <c r="J30" s="37"/>
      <c r="K30" s="37"/>
      <c r="L30" s="37"/>
      <c r="M30" s="37"/>
      <c r="N30" s="37"/>
      <c r="O30" s="37"/>
      <c r="P30" s="37"/>
      <c r="Q30" s="37"/>
      <c r="R30" s="37"/>
      <c r="S30" s="37"/>
      <c r="T30" s="37"/>
      <c r="U30" s="37"/>
      <c r="V30" s="29"/>
      <c r="W30" s="29"/>
      <c r="X30" s="29"/>
      <c r="Y30" s="29"/>
      <c r="Z30" s="29"/>
      <c r="AA30" s="29"/>
      <c r="AB30" s="29"/>
    </row>
    <row r="31" spans="1:28" ht="73.5" customHeight="1">
      <c r="A31" s="29"/>
      <c r="B31" s="98" t="s">
        <v>51</v>
      </c>
      <c r="C31" s="99"/>
      <c r="D31" s="99"/>
      <c r="E31" s="34"/>
      <c r="F31" s="34"/>
      <c r="G31" s="38"/>
      <c r="H31" s="38"/>
      <c r="I31" s="38"/>
      <c r="J31" s="98" t="s">
        <v>52</v>
      </c>
      <c r="K31" s="99"/>
      <c r="L31" s="99"/>
      <c r="M31" s="99"/>
      <c r="N31" s="99"/>
      <c r="O31" s="99"/>
      <c r="P31" s="99"/>
      <c r="Q31" s="99"/>
      <c r="R31" s="99"/>
      <c r="S31" s="99"/>
      <c r="T31" s="29"/>
      <c r="U31" s="29"/>
      <c r="V31" s="29"/>
      <c r="W31" s="29"/>
      <c r="X31" s="29"/>
      <c r="Y31" s="29"/>
      <c r="Z31" s="29"/>
      <c r="AA31" s="29"/>
      <c r="AB31" s="29"/>
    </row>
    <row r="32" spans="1:28" ht="17.25" customHeight="1">
      <c r="A32" s="29"/>
      <c r="B32" s="29"/>
      <c r="C32" s="29"/>
      <c r="D32" s="29"/>
      <c r="E32" s="29"/>
      <c r="F32" s="29"/>
      <c r="G32" s="29"/>
      <c r="H32" s="29"/>
      <c r="I32" s="29"/>
      <c r="J32" s="99"/>
      <c r="K32" s="99"/>
      <c r="L32" s="99"/>
      <c r="M32" s="99"/>
      <c r="N32" s="99"/>
      <c r="O32" s="99"/>
      <c r="P32" s="99"/>
      <c r="Q32" s="99"/>
      <c r="R32" s="99"/>
      <c r="S32" s="99"/>
      <c r="T32" s="29"/>
      <c r="U32" s="29"/>
      <c r="V32" s="29"/>
      <c r="W32" s="29"/>
      <c r="X32" s="29"/>
      <c r="Y32" s="29"/>
      <c r="Z32" s="29"/>
      <c r="AA32" s="29"/>
      <c r="AB32" s="29"/>
    </row>
    <row r="33" spans="1:28" ht="30.75" customHeight="1">
      <c r="A33" s="29"/>
      <c r="B33" s="33" t="s">
        <v>53</v>
      </c>
      <c r="C33" s="39" t="s">
        <v>54</v>
      </c>
      <c r="D33" s="33" t="s">
        <v>55</v>
      </c>
      <c r="E33" s="33" t="s">
        <v>56</v>
      </c>
      <c r="F33" s="40" t="s">
        <v>57</v>
      </c>
      <c r="G33" s="29"/>
      <c r="H33" s="29"/>
      <c r="I33" s="29"/>
      <c r="J33" s="34"/>
      <c r="K33" s="34"/>
      <c r="L33" s="34"/>
      <c r="M33" s="29"/>
      <c r="N33" s="29"/>
      <c r="O33" s="29"/>
      <c r="P33" s="29"/>
      <c r="Q33" s="29"/>
      <c r="R33" s="29"/>
      <c r="S33" s="29"/>
      <c r="T33" s="29"/>
      <c r="U33" s="29"/>
      <c r="V33" s="29"/>
      <c r="W33" s="29"/>
      <c r="X33" s="29"/>
      <c r="Y33" s="29"/>
      <c r="Z33" s="29"/>
      <c r="AA33" s="29"/>
      <c r="AB33" s="29"/>
    </row>
    <row r="34" spans="1:28" ht="26.25" customHeight="1">
      <c r="A34" s="29"/>
      <c r="B34" s="41" t="s">
        <v>58</v>
      </c>
      <c r="C34" s="42"/>
      <c r="D34" s="43"/>
      <c r="E34" s="43"/>
      <c r="F34" s="43"/>
      <c r="G34" s="29"/>
      <c r="H34" s="29"/>
      <c r="I34" s="29"/>
      <c r="J34" s="44" t="s">
        <v>59</v>
      </c>
      <c r="K34" s="44" t="s">
        <v>60</v>
      </c>
      <c r="L34" s="44" t="s">
        <v>61</v>
      </c>
      <c r="M34" s="44" t="s">
        <v>62</v>
      </c>
      <c r="N34" s="44" t="s">
        <v>63</v>
      </c>
      <c r="O34" s="44" t="s">
        <v>64</v>
      </c>
      <c r="P34" s="29"/>
      <c r="Q34" s="29"/>
      <c r="R34" s="45" t="s">
        <v>65</v>
      </c>
      <c r="S34" s="29"/>
      <c r="T34" s="46"/>
      <c r="U34" s="47" t="s">
        <v>66</v>
      </c>
      <c r="V34" s="48"/>
      <c r="W34" s="48"/>
      <c r="X34" s="49"/>
      <c r="Y34" s="29"/>
      <c r="Z34" s="29"/>
      <c r="AA34" s="29"/>
      <c r="AB34" s="29"/>
    </row>
    <row r="35" spans="1:28" ht="77.5">
      <c r="A35" s="29"/>
      <c r="B35" s="100" t="s">
        <v>67</v>
      </c>
      <c r="C35" s="50">
        <v>1</v>
      </c>
      <c r="D35" s="51" t="s">
        <v>68</v>
      </c>
      <c r="E35" s="51" t="s">
        <v>69</v>
      </c>
      <c r="F35" s="51" t="s">
        <v>70</v>
      </c>
      <c r="G35" s="29"/>
      <c r="H35" s="29"/>
      <c r="I35" s="29"/>
      <c r="J35" s="52" t="s">
        <v>71</v>
      </c>
      <c r="K35" s="52" t="s">
        <v>72</v>
      </c>
      <c r="L35" s="53" t="s">
        <v>72</v>
      </c>
      <c r="M35" s="54"/>
      <c r="N35" s="55"/>
      <c r="O35" s="56"/>
      <c r="P35" s="57"/>
      <c r="Q35" s="57"/>
      <c r="R35" s="55" t="s">
        <v>73</v>
      </c>
      <c r="S35" s="29"/>
      <c r="T35" s="58"/>
      <c r="U35" s="59" t="s">
        <v>59</v>
      </c>
      <c r="V35" s="60" t="s">
        <v>60</v>
      </c>
      <c r="W35" s="61" t="s">
        <v>61</v>
      </c>
      <c r="X35" s="62"/>
      <c r="Y35" s="29"/>
      <c r="Z35" s="29"/>
      <c r="AA35" s="29"/>
      <c r="AB35" s="29"/>
    </row>
    <row r="36" spans="1:28" ht="30" customHeight="1">
      <c r="A36" s="29"/>
      <c r="B36" s="101"/>
      <c r="C36" s="50">
        <v>2</v>
      </c>
      <c r="D36" s="51" t="s">
        <v>74</v>
      </c>
      <c r="E36" s="51" t="s">
        <v>75</v>
      </c>
      <c r="F36" s="51" t="s">
        <v>76</v>
      </c>
      <c r="G36" s="29"/>
      <c r="H36" s="29"/>
      <c r="I36" s="29"/>
      <c r="J36" s="55"/>
      <c r="K36" s="55"/>
      <c r="L36" s="56"/>
      <c r="M36" s="63"/>
      <c r="N36" s="55"/>
      <c r="O36" s="56"/>
      <c r="P36" s="57"/>
      <c r="Q36" s="57"/>
      <c r="R36" s="55"/>
      <c r="S36" s="29"/>
      <c r="T36" s="58"/>
      <c r="U36" s="64" t="s">
        <v>77</v>
      </c>
      <c r="V36" s="65" t="s">
        <v>77</v>
      </c>
      <c r="W36" s="66"/>
      <c r="X36" s="62"/>
      <c r="Y36" s="29"/>
      <c r="Z36" s="29"/>
      <c r="AA36" s="29"/>
      <c r="AB36" s="29"/>
    </row>
    <row r="37" spans="1:28" ht="30" customHeight="1">
      <c r="A37" s="29"/>
      <c r="B37" s="101"/>
      <c r="C37" s="50">
        <v>3</v>
      </c>
      <c r="D37" s="51" t="s">
        <v>78</v>
      </c>
      <c r="E37" s="51" t="s">
        <v>79</v>
      </c>
      <c r="F37" s="51" t="s">
        <v>40</v>
      </c>
      <c r="G37" s="29"/>
      <c r="H37" s="29"/>
      <c r="I37" s="29"/>
      <c r="J37" s="55"/>
      <c r="K37" s="55"/>
      <c r="L37" s="56"/>
      <c r="M37" s="67" t="s">
        <v>72</v>
      </c>
      <c r="N37" s="52" t="s">
        <v>72</v>
      </c>
      <c r="O37" s="53" t="s">
        <v>72</v>
      </c>
      <c r="P37" s="57"/>
      <c r="Q37" s="57"/>
      <c r="R37" s="55"/>
      <c r="S37" s="29"/>
      <c r="T37" s="58"/>
      <c r="U37" s="103" t="s">
        <v>80</v>
      </c>
      <c r="V37" s="104"/>
      <c r="W37" s="106" t="s">
        <v>81</v>
      </c>
      <c r="X37" s="62"/>
      <c r="Y37" s="29"/>
      <c r="Z37" s="29"/>
      <c r="AA37" s="29"/>
      <c r="AB37" s="29"/>
    </row>
    <row r="38" spans="1:28" ht="46.5">
      <c r="A38" s="29"/>
      <c r="B38" s="101"/>
      <c r="C38" s="50">
        <v>4</v>
      </c>
      <c r="D38" s="51" t="s">
        <v>82</v>
      </c>
      <c r="E38" s="51" t="s">
        <v>69</v>
      </c>
      <c r="F38" s="51" t="s">
        <v>83</v>
      </c>
      <c r="G38" s="29"/>
      <c r="H38" s="29"/>
      <c r="I38" s="29"/>
      <c r="J38" s="52" t="s">
        <v>71</v>
      </c>
      <c r="K38" s="52" t="s">
        <v>72</v>
      </c>
      <c r="L38" s="53" t="s">
        <v>72</v>
      </c>
      <c r="M38" s="54"/>
      <c r="N38" s="55"/>
      <c r="O38" s="56"/>
      <c r="P38" s="57"/>
      <c r="Q38" s="57"/>
      <c r="R38" s="55" t="s">
        <v>73</v>
      </c>
      <c r="S38" s="29"/>
      <c r="T38" s="58"/>
      <c r="U38" s="102"/>
      <c r="V38" s="105"/>
      <c r="W38" s="107"/>
      <c r="X38" s="62"/>
      <c r="Y38" s="29"/>
      <c r="Z38" s="29"/>
      <c r="AA38" s="29"/>
      <c r="AB38" s="29"/>
    </row>
    <row r="39" spans="1:28" ht="30" customHeight="1">
      <c r="A39" s="29"/>
      <c r="B39" s="102"/>
      <c r="C39" s="50">
        <v>5</v>
      </c>
      <c r="D39" s="51" t="s">
        <v>84</v>
      </c>
      <c r="E39" s="51" t="s">
        <v>79</v>
      </c>
      <c r="F39" s="51" t="s">
        <v>76</v>
      </c>
      <c r="G39" s="29"/>
      <c r="H39" s="29"/>
      <c r="I39" s="29"/>
      <c r="J39" s="55"/>
      <c r="K39" s="55"/>
      <c r="L39" s="56"/>
      <c r="M39" s="63"/>
      <c r="N39" s="55"/>
      <c r="O39" s="56"/>
      <c r="P39" s="57"/>
      <c r="Q39" s="57"/>
      <c r="R39" s="55"/>
      <c r="S39" s="29"/>
      <c r="T39" s="68"/>
      <c r="U39" s="69"/>
      <c r="V39" s="69"/>
      <c r="W39" s="69"/>
      <c r="X39" s="70"/>
      <c r="Y39" s="29"/>
      <c r="Z39" s="29"/>
      <c r="AA39" s="29"/>
      <c r="AB39" s="29"/>
    </row>
    <row r="40" spans="1:28" ht="33" customHeight="1">
      <c r="A40" s="29"/>
      <c r="B40" s="41" t="s">
        <v>85</v>
      </c>
      <c r="C40" s="42"/>
      <c r="D40" s="71"/>
      <c r="E40" s="71"/>
      <c r="F40" s="71"/>
      <c r="G40" s="29"/>
      <c r="H40" s="29"/>
      <c r="I40" s="29"/>
      <c r="J40" s="29"/>
      <c r="K40" s="29"/>
      <c r="L40" s="72"/>
      <c r="M40" s="29"/>
      <c r="N40" s="29"/>
      <c r="O40" s="72"/>
      <c r="P40" s="29"/>
      <c r="Q40" s="29"/>
      <c r="R40" s="29"/>
      <c r="S40" s="29"/>
      <c r="T40" s="29"/>
      <c r="U40" s="29"/>
      <c r="V40" s="29"/>
      <c r="W40" s="29"/>
      <c r="X40" s="29"/>
      <c r="Y40" s="29"/>
      <c r="Z40" s="29"/>
      <c r="AA40" s="29"/>
      <c r="AB40" s="29"/>
    </row>
    <row r="41" spans="1:28" ht="30" customHeight="1">
      <c r="A41" s="29"/>
      <c r="B41" s="100" t="s">
        <v>86</v>
      </c>
      <c r="C41" s="50">
        <v>6</v>
      </c>
      <c r="D41" s="51" t="s">
        <v>87</v>
      </c>
      <c r="E41" s="51" t="s">
        <v>79</v>
      </c>
      <c r="F41" s="51" t="s">
        <v>76</v>
      </c>
      <c r="G41" s="29"/>
      <c r="H41" s="29"/>
      <c r="I41" s="29"/>
      <c r="J41" s="73"/>
      <c r="K41" s="73"/>
      <c r="L41" s="74"/>
      <c r="M41" s="63"/>
      <c r="N41" s="55"/>
      <c r="O41" s="56"/>
      <c r="P41" s="57"/>
      <c r="Q41" s="57"/>
      <c r="R41" s="55"/>
      <c r="S41" s="29"/>
      <c r="T41" s="29"/>
      <c r="U41" s="29"/>
      <c r="V41" s="29"/>
      <c r="W41" s="29"/>
      <c r="X41" s="29"/>
      <c r="Y41" s="29"/>
      <c r="Z41" s="29"/>
      <c r="AA41" s="29"/>
      <c r="AB41" s="29"/>
    </row>
    <row r="42" spans="1:28" ht="30" customHeight="1">
      <c r="A42" s="29"/>
      <c r="B42" s="101"/>
      <c r="C42" s="50">
        <v>7</v>
      </c>
      <c r="D42" s="51" t="s">
        <v>88</v>
      </c>
      <c r="E42" s="51" t="s">
        <v>75</v>
      </c>
      <c r="F42" s="51" t="s">
        <v>76</v>
      </c>
      <c r="G42" s="29"/>
      <c r="H42" s="29"/>
      <c r="I42" s="29"/>
      <c r="J42" s="55"/>
      <c r="K42" s="55"/>
      <c r="L42" s="56"/>
      <c r="M42" s="63"/>
      <c r="N42" s="55"/>
      <c r="O42" s="56"/>
      <c r="P42" s="57"/>
      <c r="Q42" s="57"/>
      <c r="R42" s="55"/>
      <c r="S42" s="29"/>
      <c r="T42" s="29"/>
      <c r="U42" s="29"/>
      <c r="V42" s="29"/>
      <c r="W42" s="75"/>
      <c r="X42" s="29"/>
      <c r="Y42" s="29"/>
      <c r="Z42" s="29"/>
      <c r="AA42" s="29"/>
      <c r="AB42" s="29"/>
    </row>
    <row r="43" spans="1:28" ht="30" customHeight="1">
      <c r="A43" s="29"/>
      <c r="B43" s="101"/>
      <c r="C43" s="50">
        <v>8</v>
      </c>
      <c r="D43" s="51" t="s">
        <v>89</v>
      </c>
      <c r="E43" s="51" t="s">
        <v>75</v>
      </c>
      <c r="F43" s="51" t="s">
        <v>76</v>
      </c>
      <c r="G43" s="29"/>
      <c r="H43" s="29"/>
      <c r="I43" s="29"/>
      <c r="J43" s="55"/>
      <c r="K43" s="55"/>
      <c r="L43" s="56"/>
      <c r="M43" s="63"/>
      <c r="N43" s="55"/>
      <c r="O43" s="56"/>
      <c r="P43" s="57"/>
      <c r="Q43" s="57"/>
      <c r="R43" s="55"/>
      <c r="S43" s="29"/>
      <c r="T43" s="29"/>
      <c r="U43" s="29"/>
      <c r="V43" s="29"/>
      <c r="W43" s="75"/>
      <c r="X43" s="29"/>
      <c r="Y43" s="29"/>
      <c r="Z43" s="29"/>
      <c r="AA43" s="29"/>
      <c r="AB43" s="76"/>
    </row>
    <row r="44" spans="1:28" ht="30" customHeight="1">
      <c r="A44" s="29"/>
      <c r="B44" s="102"/>
      <c r="C44" s="50">
        <v>9</v>
      </c>
      <c r="D44" s="51" t="s">
        <v>90</v>
      </c>
      <c r="E44" s="51" t="s">
        <v>75</v>
      </c>
      <c r="F44" s="51" t="s">
        <v>76</v>
      </c>
      <c r="G44" s="29"/>
      <c r="H44" s="29"/>
      <c r="I44" s="29"/>
      <c r="J44" s="55"/>
      <c r="K44" s="55"/>
      <c r="L44" s="56"/>
      <c r="M44" s="63"/>
      <c r="N44" s="55"/>
      <c r="O44" s="56"/>
      <c r="P44" s="57"/>
      <c r="Q44" s="57"/>
      <c r="R44" s="55"/>
      <c r="S44" s="29"/>
      <c r="T44" s="29"/>
      <c r="U44" s="29"/>
      <c r="V44" s="29"/>
      <c r="W44" s="29"/>
      <c r="X44" s="29"/>
      <c r="Y44" s="29"/>
      <c r="Z44" s="29"/>
      <c r="AA44" s="29"/>
      <c r="AB44" s="29"/>
    </row>
    <row r="45" spans="1:28" ht="26.25" customHeight="1">
      <c r="A45" s="29"/>
      <c r="B45" s="41" t="s">
        <v>91</v>
      </c>
      <c r="C45" s="42"/>
      <c r="D45" s="71"/>
      <c r="E45" s="71"/>
      <c r="F45" s="71"/>
      <c r="G45" s="29"/>
      <c r="H45" s="29"/>
      <c r="I45" s="29"/>
      <c r="J45" s="29"/>
      <c r="K45" s="29"/>
      <c r="L45" s="72"/>
      <c r="M45" s="29"/>
      <c r="N45" s="29"/>
      <c r="O45" s="72"/>
      <c r="P45" s="29"/>
      <c r="Q45" s="29"/>
      <c r="R45" s="29"/>
      <c r="S45" s="29"/>
      <c r="T45" s="29"/>
      <c r="U45" s="29"/>
      <c r="V45" s="29"/>
      <c r="W45" s="77"/>
      <c r="X45" s="29"/>
      <c r="Y45" s="29"/>
      <c r="Z45" s="29"/>
      <c r="AA45" s="29"/>
      <c r="AB45" s="29"/>
    </row>
    <row r="46" spans="1:28" ht="46.5">
      <c r="A46" s="29"/>
      <c r="B46" s="100" t="s">
        <v>92</v>
      </c>
      <c r="C46" s="50">
        <v>10</v>
      </c>
      <c r="D46" s="51" t="s">
        <v>93</v>
      </c>
      <c r="E46" s="51" t="s">
        <v>69</v>
      </c>
      <c r="F46" s="51" t="s">
        <v>37</v>
      </c>
      <c r="G46" s="29"/>
      <c r="H46" s="29"/>
      <c r="I46" s="29"/>
      <c r="J46" s="52" t="s">
        <v>94</v>
      </c>
      <c r="K46" s="52" t="s">
        <v>94</v>
      </c>
      <c r="L46" s="53" t="s">
        <v>94</v>
      </c>
      <c r="M46" s="54"/>
      <c r="N46" s="55"/>
      <c r="O46" s="56"/>
      <c r="P46" s="57"/>
      <c r="Q46" s="57"/>
      <c r="R46" s="55" t="s">
        <v>95</v>
      </c>
      <c r="S46" s="29"/>
      <c r="T46" s="29"/>
      <c r="U46" s="29"/>
      <c r="V46" s="29"/>
      <c r="W46" s="78"/>
      <c r="X46" s="29"/>
      <c r="Y46" s="29"/>
      <c r="Z46" s="29"/>
      <c r="AA46" s="29"/>
      <c r="AB46" s="29"/>
    </row>
    <row r="47" spans="1:28" ht="30" customHeight="1">
      <c r="A47" s="29"/>
      <c r="B47" s="101"/>
      <c r="C47" s="50">
        <v>11</v>
      </c>
      <c r="D47" s="51" t="s">
        <v>96</v>
      </c>
      <c r="E47" s="51" t="s">
        <v>75</v>
      </c>
      <c r="F47" s="51" t="s">
        <v>76</v>
      </c>
      <c r="G47" s="29"/>
      <c r="H47" s="29"/>
      <c r="I47" s="29"/>
      <c r="J47" s="55"/>
      <c r="K47" s="55"/>
      <c r="L47" s="56"/>
      <c r="M47" s="63"/>
      <c r="N47" s="55"/>
      <c r="O47" s="56"/>
      <c r="P47" s="57"/>
      <c r="Q47" s="57"/>
      <c r="R47" s="55"/>
      <c r="S47" s="29"/>
      <c r="T47" s="29"/>
      <c r="U47" s="29"/>
      <c r="V47" s="29"/>
      <c r="W47" s="29"/>
      <c r="X47" s="29"/>
      <c r="Y47" s="29"/>
      <c r="Z47" s="29"/>
      <c r="AA47" s="29"/>
      <c r="AB47" s="29"/>
    </row>
    <row r="48" spans="1:28" ht="46.5">
      <c r="A48" s="29"/>
      <c r="B48" s="101"/>
      <c r="C48" s="50">
        <v>12</v>
      </c>
      <c r="D48" s="51" t="s">
        <v>97</v>
      </c>
      <c r="E48" s="51" t="s">
        <v>69</v>
      </c>
      <c r="F48" s="51" t="s">
        <v>37</v>
      </c>
      <c r="G48" s="29"/>
      <c r="H48" s="29"/>
      <c r="I48" s="29"/>
      <c r="J48" s="52" t="s">
        <v>94</v>
      </c>
      <c r="K48" s="52" t="s">
        <v>94</v>
      </c>
      <c r="L48" s="53" t="s">
        <v>94</v>
      </c>
      <c r="M48" s="54"/>
      <c r="N48" s="55"/>
      <c r="O48" s="56"/>
      <c r="P48" s="57"/>
      <c r="Q48" s="57"/>
      <c r="R48" s="55" t="s">
        <v>95</v>
      </c>
      <c r="S48" s="29"/>
      <c r="T48" s="29"/>
      <c r="U48" s="29"/>
      <c r="V48" s="29"/>
      <c r="W48" s="29"/>
      <c r="X48" s="29"/>
      <c r="Y48" s="29"/>
      <c r="Z48" s="29"/>
      <c r="AA48" s="29"/>
      <c r="AB48" s="29"/>
    </row>
    <row r="49" spans="1:28" ht="30" customHeight="1">
      <c r="A49" s="29"/>
      <c r="B49" s="102"/>
      <c r="C49" s="50">
        <v>13</v>
      </c>
      <c r="D49" s="51" t="s">
        <v>98</v>
      </c>
      <c r="E49" s="51" t="s">
        <v>69</v>
      </c>
      <c r="F49" s="51" t="s">
        <v>99</v>
      </c>
      <c r="G49" s="29"/>
      <c r="H49" s="29"/>
      <c r="I49" s="29"/>
      <c r="J49" s="55"/>
      <c r="K49" s="55"/>
      <c r="L49" s="56"/>
      <c r="M49" s="67" t="s">
        <v>100</v>
      </c>
      <c r="N49" s="52" t="s">
        <v>100</v>
      </c>
      <c r="O49" s="53" t="s">
        <v>100</v>
      </c>
      <c r="P49" s="57"/>
      <c r="Q49" s="57"/>
      <c r="R49" s="55"/>
      <c r="S49" s="29"/>
      <c r="T49" s="29"/>
      <c r="U49" s="29"/>
      <c r="V49" s="29"/>
      <c r="W49" s="29"/>
      <c r="X49" s="29"/>
      <c r="Y49" s="29"/>
      <c r="Z49" s="29"/>
      <c r="AA49" s="29"/>
      <c r="AB49" s="29"/>
    </row>
    <row r="50" spans="1:28" ht="26.25" customHeight="1">
      <c r="A50" s="29"/>
      <c r="B50" s="41" t="s">
        <v>101</v>
      </c>
      <c r="C50" s="42"/>
      <c r="D50" s="71"/>
      <c r="E50" s="71"/>
      <c r="F50" s="71"/>
      <c r="G50" s="29"/>
      <c r="H50" s="29"/>
      <c r="I50" s="29"/>
      <c r="J50" s="29"/>
      <c r="K50" s="29"/>
      <c r="L50" s="72"/>
      <c r="M50" s="29"/>
      <c r="N50" s="29"/>
      <c r="O50" s="72"/>
      <c r="P50" s="29"/>
      <c r="Q50" s="29"/>
      <c r="R50" s="29"/>
      <c r="S50" s="29"/>
      <c r="T50" s="29"/>
      <c r="U50" s="29"/>
      <c r="V50" s="29"/>
      <c r="W50" s="29"/>
      <c r="X50" s="29"/>
      <c r="Y50" s="29"/>
      <c r="Z50" s="29"/>
      <c r="AA50" s="29"/>
      <c r="AB50" s="29"/>
    </row>
    <row r="51" spans="1:28" ht="62">
      <c r="A51" s="29"/>
      <c r="B51" s="100" t="s">
        <v>102</v>
      </c>
      <c r="C51" s="50">
        <v>14</v>
      </c>
      <c r="D51" s="51" t="s">
        <v>103</v>
      </c>
      <c r="E51" s="51" t="s">
        <v>69</v>
      </c>
      <c r="F51" s="51" t="s">
        <v>104</v>
      </c>
      <c r="G51" s="29"/>
      <c r="H51" s="29"/>
      <c r="I51" s="29"/>
      <c r="J51" s="52" t="s">
        <v>100</v>
      </c>
      <c r="K51" s="52" t="s">
        <v>100</v>
      </c>
      <c r="L51" s="53" t="s">
        <v>100</v>
      </c>
      <c r="M51" s="63"/>
      <c r="N51" s="55"/>
      <c r="O51" s="56"/>
      <c r="P51" s="57"/>
      <c r="Q51" s="57"/>
      <c r="R51" s="55" t="s">
        <v>105</v>
      </c>
      <c r="S51" s="29"/>
      <c r="T51" s="29"/>
      <c r="U51" s="29"/>
      <c r="V51" s="29"/>
      <c r="W51" s="29"/>
      <c r="X51" s="29"/>
      <c r="Y51" s="29"/>
      <c r="Z51" s="29"/>
      <c r="AA51" s="29"/>
      <c r="AB51" s="29"/>
    </row>
    <row r="52" spans="1:28" ht="30" customHeight="1">
      <c r="A52" s="29"/>
      <c r="B52" s="101"/>
      <c r="C52" s="50">
        <v>15</v>
      </c>
      <c r="D52" s="51" t="s">
        <v>106</v>
      </c>
      <c r="E52" s="51" t="s">
        <v>75</v>
      </c>
      <c r="F52" s="51" t="s">
        <v>76</v>
      </c>
      <c r="G52" s="29"/>
      <c r="H52" s="29"/>
      <c r="I52" s="29"/>
      <c r="J52" s="55"/>
      <c r="K52" s="55"/>
      <c r="L52" s="56"/>
      <c r="M52" s="63"/>
      <c r="N52" s="55"/>
      <c r="O52" s="56"/>
      <c r="P52" s="57"/>
      <c r="Q52" s="57"/>
      <c r="R52" s="55"/>
      <c r="S52" s="29"/>
      <c r="T52" s="29"/>
      <c r="U52" s="29"/>
      <c r="V52" s="29"/>
      <c r="W52" s="29"/>
      <c r="X52" s="29"/>
      <c r="Y52" s="29"/>
      <c r="Z52" s="29"/>
      <c r="AA52" s="29"/>
      <c r="AB52" s="29"/>
    </row>
    <row r="53" spans="1:28" ht="46.5">
      <c r="A53" s="29"/>
      <c r="B53" s="101"/>
      <c r="C53" s="50">
        <v>16</v>
      </c>
      <c r="D53" s="51" t="s">
        <v>107</v>
      </c>
      <c r="E53" s="51" t="s">
        <v>69</v>
      </c>
      <c r="F53" s="51" t="s">
        <v>108</v>
      </c>
      <c r="G53" s="29"/>
      <c r="H53" s="29"/>
      <c r="I53" s="29"/>
      <c r="J53" s="52" t="s">
        <v>100</v>
      </c>
      <c r="K53" s="52" t="s">
        <v>100</v>
      </c>
      <c r="L53" s="53" t="s">
        <v>100</v>
      </c>
      <c r="M53" s="67" t="s">
        <v>72</v>
      </c>
      <c r="N53" s="52" t="s">
        <v>72</v>
      </c>
      <c r="O53" s="53" t="s">
        <v>72</v>
      </c>
      <c r="P53" s="57"/>
      <c r="Q53" s="57"/>
      <c r="R53" s="55" t="s">
        <v>109</v>
      </c>
      <c r="S53" s="29"/>
      <c r="T53" s="29"/>
      <c r="U53" s="29"/>
      <c r="V53" s="29"/>
      <c r="W53" s="29"/>
      <c r="X53" s="29"/>
      <c r="Y53" s="29"/>
      <c r="Z53" s="29"/>
      <c r="AA53" s="29"/>
      <c r="AB53" s="29"/>
    </row>
    <row r="54" spans="1:28" ht="31">
      <c r="A54" s="29"/>
      <c r="B54" s="102"/>
      <c r="C54" s="50">
        <v>17</v>
      </c>
      <c r="D54" s="51" t="s">
        <v>110</v>
      </c>
      <c r="E54" s="51" t="s">
        <v>69</v>
      </c>
      <c r="F54" s="51" t="s">
        <v>111</v>
      </c>
      <c r="G54" s="29"/>
      <c r="H54" s="29"/>
      <c r="I54" s="29"/>
      <c r="J54" s="52" t="s">
        <v>100</v>
      </c>
      <c r="K54" s="52" t="s">
        <v>100</v>
      </c>
      <c r="L54" s="53" t="s">
        <v>100</v>
      </c>
      <c r="M54" s="79"/>
      <c r="N54" s="55"/>
      <c r="O54" s="56"/>
      <c r="P54" s="57"/>
      <c r="Q54" s="57"/>
      <c r="R54" s="55"/>
      <c r="S54" s="29"/>
      <c r="T54" s="29"/>
      <c r="U54" s="29"/>
      <c r="V54" s="29"/>
      <c r="W54" s="29"/>
      <c r="X54" s="29"/>
      <c r="Y54" s="29"/>
      <c r="Z54" s="29"/>
      <c r="AA54" s="29"/>
      <c r="AB54" s="29"/>
    </row>
    <row r="55" spans="1:28" ht="26.25" customHeight="1">
      <c r="A55" s="29"/>
      <c r="B55" s="41" t="s">
        <v>112</v>
      </c>
      <c r="C55" s="42"/>
      <c r="D55" s="71"/>
      <c r="E55" s="71"/>
      <c r="F55" s="71"/>
      <c r="G55" s="29"/>
      <c r="H55" s="29"/>
      <c r="I55" s="29"/>
      <c r="J55" s="29"/>
      <c r="K55" s="29"/>
      <c r="L55" s="72"/>
      <c r="M55" s="29"/>
      <c r="N55" s="29"/>
      <c r="O55" s="72"/>
      <c r="P55" s="29"/>
      <c r="Q55" s="29"/>
      <c r="R55" s="29"/>
      <c r="S55" s="29"/>
      <c r="T55" s="29"/>
      <c r="U55" s="29"/>
      <c r="V55" s="29"/>
      <c r="W55" s="29"/>
      <c r="X55" s="29"/>
      <c r="Y55" s="29"/>
      <c r="Z55" s="29"/>
      <c r="AA55" s="29"/>
      <c r="AB55" s="29"/>
    </row>
    <row r="56" spans="1:28" ht="51" customHeight="1">
      <c r="A56" s="29"/>
      <c r="B56" s="80" t="s">
        <v>113</v>
      </c>
      <c r="C56" s="50">
        <v>18</v>
      </c>
      <c r="D56" s="51" t="s">
        <v>114</v>
      </c>
      <c r="E56" s="51" t="s">
        <v>75</v>
      </c>
      <c r="F56" s="51" t="s">
        <v>76</v>
      </c>
      <c r="G56" s="29"/>
      <c r="H56" s="29"/>
      <c r="I56" s="29"/>
      <c r="J56" s="55"/>
      <c r="K56" s="55"/>
      <c r="L56" s="56"/>
      <c r="M56" s="63"/>
      <c r="N56" s="55"/>
      <c r="O56" s="56"/>
      <c r="P56" s="57"/>
      <c r="Q56" s="57"/>
      <c r="R56" s="55"/>
      <c r="S56" s="29"/>
      <c r="T56" s="29"/>
      <c r="U56" s="29"/>
      <c r="V56" s="29"/>
      <c r="W56" s="29"/>
      <c r="X56" s="29"/>
      <c r="Y56" s="29"/>
      <c r="Z56" s="29"/>
      <c r="AA56" s="29"/>
      <c r="AB56" s="29"/>
    </row>
    <row r="57" spans="1:28" ht="25.5" customHeight="1">
      <c r="A57" s="29"/>
      <c r="B57" s="41" t="s">
        <v>115</v>
      </c>
      <c r="C57" s="42"/>
      <c r="D57" s="71"/>
      <c r="E57" s="71"/>
      <c r="F57" s="71"/>
      <c r="G57" s="29"/>
      <c r="H57" s="29"/>
      <c r="I57" s="29"/>
      <c r="J57" s="29"/>
      <c r="K57" s="29"/>
      <c r="L57" s="72"/>
      <c r="M57" s="29"/>
      <c r="N57" s="29"/>
      <c r="O57" s="72"/>
      <c r="P57" s="29"/>
      <c r="Q57" s="29"/>
      <c r="R57" s="29"/>
      <c r="S57" s="29"/>
      <c r="T57" s="29"/>
      <c r="U57" s="29"/>
      <c r="V57" s="29"/>
      <c r="W57" s="29"/>
      <c r="X57" s="29"/>
      <c r="Y57" s="29"/>
      <c r="Z57" s="29"/>
      <c r="AA57" s="29"/>
      <c r="AB57" s="29"/>
    </row>
    <row r="58" spans="1:28" ht="54" customHeight="1">
      <c r="A58" s="29"/>
      <c r="B58" s="81" t="s">
        <v>116</v>
      </c>
      <c r="C58" s="50">
        <v>19</v>
      </c>
      <c r="D58" s="51" t="s">
        <v>117</v>
      </c>
      <c r="E58" s="51" t="s">
        <v>75</v>
      </c>
      <c r="F58" s="51" t="s">
        <v>76</v>
      </c>
      <c r="G58" s="29"/>
      <c r="H58" s="29"/>
      <c r="I58" s="29"/>
      <c r="J58" s="55"/>
      <c r="K58" s="55"/>
      <c r="L58" s="56"/>
      <c r="M58" s="63"/>
      <c r="N58" s="55"/>
      <c r="O58" s="56"/>
      <c r="P58" s="57"/>
      <c r="Q58" s="57"/>
      <c r="R58" s="55"/>
      <c r="S58" s="29"/>
      <c r="T58" s="29"/>
      <c r="U58" s="29"/>
      <c r="V58" s="29"/>
      <c r="W58" s="29"/>
      <c r="X58" s="29"/>
      <c r="Y58" s="29"/>
      <c r="Z58" s="29"/>
      <c r="AA58" s="29"/>
      <c r="AB58" s="29"/>
    </row>
    <row r="59" spans="1:28" ht="25.5" customHeight="1">
      <c r="A59" s="29"/>
      <c r="B59" s="41" t="s">
        <v>118</v>
      </c>
      <c r="C59" s="82"/>
      <c r="D59" s="83"/>
      <c r="E59" s="83"/>
      <c r="F59" s="83"/>
      <c r="G59" s="29"/>
      <c r="H59" s="29"/>
      <c r="I59" s="29"/>
      <c r="J59" s="29"/>
      <c r="K59" s="29"/>
      <c r="L59" s="72"/>
      <c r="M59" s="29"/>
      <c r="N59" s="29"/>
      <c r="O59" s="72"/>
      <c r="P59" s="29"/>
      <c r="Q59" s="29"/>
      <c r="R59" s="29"/>
      <c r="S59" s="29"/>
      <c r="T59" s="29"/>
      <c r="U59" s="29"/>
      <c r="V59" s="29"/>
      <c r="W59" s="29"/>
      <c r="X59" s="29"/>
      <c r="Y59" s="29"/>
      <c r="Z59" s="29"/>
      <c r="AA59" s="29"/>
      <c r="AB59" s="29"/>
    </row>
    <row r="60" spans="1:28" ht="62">
      <c r="A60" s="29"/>
      <c r="B60" s="81" t="s">
        <v>119</v>
      </c>
      <c r="C60" s="50">
        <v>20</v>
      </c>
      <c r="D60" s="51" t="s">
        <v>120</v>
      </c>
      <c r="E60" s="51" t="s">
        <v>69</v>
      </c>
      <c r="F60" s="51" t="s">
        <v>121</v>
      </c>
      <c r="G60" s="29"/>
      <c r="H60" s="29"/>
      <c r="I60" s="29"/>
      <c r="J60" s="55"/>
      <c r="K60" s="73"/>
      <c r="L60" s="53" t="s">
        <v>122</v>
      </c>
      <c r="M60" s="63"/>
      <c r="N60" s="73"/>
      <c r="O60" s="53" t="s">
        <v>123</v>
      </c>
      <c r="P60" s="57"/>
      <c r="Q60" s="57"/>
      <c r="R60" s="55" t="s">
        <v>124</v>
      </c>
      <c r="S60" s="29"/>
      <c r="T60" s="29"/>
      <c r="U60" s="29"/>
      <c r="V60" s="29"/>
      <c r="W60" s="29"/>
      <c r="X60" s="29"/>
      <c r="Y60" s="29"/>
      <c r="Z60" s="29"/>
      <c r="AA60" s="29"/>
      <c r="AB60" s="29"/>
    </row>
    <row r="61" spans="1:28" ht="14.25" customHeight="1">
      <c r="A61" s="29"/>
      <c r="B61" s="38"/>
      <c r="C61" s="29"/>
      <c r="D61" s="29"/>
      <c r="E61" s="29"/>
      <c r="F61" s="29"/>
      <c r="G61" s="29"/>
      <c r="H61" s="40"/>
      <c r="I61" s="40"/>
      <c r="J61" s="29"/>
      <c r="K61" s="29"/>
      <c r="L61" s="72"/>
      <c r="M61" s="29"/>
      <c r="N61" s="29"/>
      <c r="O61" s="72"/>
      <c r="P61" s="40"/>
      <c r="Q61" s="29"/>
      <c r="R61" s="29"/>
      <c r="S61" s="29"/>
      <c r="T61" s="29"/>
      <c r="U61" s="29"/>
      <c r="V61" s="29"/>
      <c r="W61" s="29"/>
      <c r="X61" s="29"/>
      <c r="Y61" s="29"/>
      <c r="Z61" s="29"/>
      <c r="AA61" s="29"/>
      <c r="AB61" s="29"/>
    </row>
    <row r="62" spans="1:28" ht="14.25" hidden="1" customHeight="1">
      <c r="A62" s="29"/>
      <c r="B62" s="38"/>
      <c r="C62" s="29"/>
      <c r="D62" s="29"/>
      <c r="E62" s="29"/>
      <c r="F62" s="29"/>
      <c r="G62" s="29"/>
      <c r="H62" s="84" t="s">
        <v>125</v>
      </c>
      <c r="I62" s="84" t="s">
        <v>126</v>
      </c>
      <c r="J62" s="85"/>
      <c r="K62" s="85"/>
      <c r="L62" s="86"/>
      <c r="M62" s="87"/>
      <c r="N62" s="85"/>
      <c r="O62" s="86"/>
      <c r="P62" s="88" t="s">
        <v>127</v>
      </c>
      <c r="Q62" s="29"/>
      <c r="R62" s="29"/>
      <c r="S62" s="29"/>
      <c r="T62" s="29"/>
      <c r="U62" s="29"/>
      <c r="V62" s="29"/>
      <c r="W62" s="29"/>
      <c r="X62" s="29"/>
      <c r="Y62" s="29"/>
      <c r="Z62" s="29"/>
      <c r="AA62" s="29"/>
      <c r="AB62" s="29"/>
    </row>
    <row r="63" spans="1:28" ht="14.25" hidden="1" customHeight="1">
      <c r="A63" s="29"/>
      <c r="B63" s="38"/>
      <c r="C63" s="29"/>
      <c r="D63" s="29"/>
      <c r="E63" s="29"/>
      <c r="F63" s="29"/>
      <c r="G63" s="29"/>
      <c r="H63" s="113" t="s">
        <v>128</v>
      </c>
      <c r="I63" s="89" t="s">
        <v>129</v>
      </c>
      <c r="J63" s="90">
        <v>0.8</v>
      </c>
      <c r="K63" s="90">
        <v>1</v>
      </c>
      <c r="L63" s="91">
        <v>1</v>
      </c>
      <c r="M63" s="79">
        <v>0.7</v>
      </c>
      <c r="N63" s="90">
        <v>0.7</v>
      </c>
      <c r="O63" s="91">
        <v>0.7</v>
      </c>
      <c r="P63" s="92">
        <f>SUM(J63:O63)</f>
        <v>4.9000000000000004</v>
      </c>
      <c r="Q63" s="29"/>
      <c r="R63" s="29"/>
      <c r="S63" s="29"/>
      <c r="T63" s="29"/>
      <c r="U63" s="29"/>
      <c r="V63" s="29"/>
      <c r="W63" s="29"/>
      <c r="X63" s="29"/>
      <c r="Y63" s="29"/>
      <c r="Z63" s="29"/>
      <c r="AA63" s="29"/>
      <c r="AB63" s="29"/>
    </row>
    <row r="64" spans="1:28" ht="14.25" hidden="1" customHeight="1">
      <c r="A64" s="29"/>
      <c r="B64" s="38"/>
      <c r="C64" s="29"/>
      <c r="D64" s="29"/>
      <c r="E64" s="29"/>
      <c r="F64" s="29"/>
      <c r="G64" s="29"/>
      <c r="H64" s="114"/>
      <c r="I64" s="89" t="s">
        <v>130</v>
      </c>
      <c r="J64" s="90">
        <f t="shared" ref="J64:O64" si="0">(J63/1)*100</f>
        <v>80</v>
      </c>
      <c r="K64" s="90">
        <f t="shared" si="0"/>
        <v>100</v>
      </c>
      <c r="L64" s="91">
        <f t="shared" si="0"/>
        <v>100</v>
      </c>
      <c r="M64" s="79">
        <f t="shared" si="0"/>
        <v>70</v>
      </c>
      <c r="N64" s="90">
        <f t="shared" si="0"/>
        <v>70</v>
      </c>
      <c r="O64" s="91">
        <f t="shared" si="0"/>
        <v>70</v>
      </c>
      <c r="P64" s="92">
        <f>ROUND(AVERAGE(J64:O64),2)</f>
        <v>81.67</v>
      </c>
      <c r="Q64" s="29"/>
      <c r="R64" s="29"/>
      <c r="S64" s="29"/>
      <c r="T64" s="29"/>
      <c r="U64" s="29"/>
      <c r="V64" s="29"/>
      <c r="W64" s="29"/>
      <c r="X64" s="29"/>
      <c r="Y64" s="29"/>
      <c r="Z64" s="29"/>
      <c r="AA64" s="29"/>
      <c r="AB64" s="29"/>
    </row>
    <row r="65" spans="1:28" ht="14.25" hidden="1" customHeight="1">
      <c r="A65" s="29"/>
      <c r="B65" s="38"/>
      <c r="C65" s="29"/>
      <c r="D65" s="29"/>
      <c r="E65" s="29"/>
      <c r="F65" s="29"/>
      <c r="G65" s="29"/>
      <c r="H65" s="113" t="s">
        <v>131</v>
      </c>
      <c r="I65" s="89" t="s">
        <v>129</v>
      </c>
      <c r="J65" s="90">
        <v>1</v>
      </c>
      <c r="K65" s="90">
        <v>1</v>
      </c>
      <c r="L65" s="91">
        <v>1</v>
      </c>
      <c r="M65" s="79">
        <v>0.75</v>
      </c>
      <c r="N65" s="90">
        <v>0.75</v>
      </c>
      <c r="O65" s="91">
        <v>0.75</v>
      </c>
      <c r="P65" s="92">
        <f>SUM(J65:O65)</f>
        <v>5.25</v>
      </c>
      <c r="Q65" s="29"/>
      <c r="R65" s="29"/>
      <c r="S65" s="29"/>
      <c r="T65" s="29"/>
      <c r="U65" s="29"/>
      <c r="V65" s="29"/>
      <c r="W65" s="29"/>
      <c r="X65" s="29"/>
      <c r="Y65" s="29"/>
      <c r="Z65" s="29"/>
      <c r="AA65" s="29"/>
      <c r="AB65" s="29"/>
    </row>
    <row r="66" spans="1:28" ht="14.25" hidden="1" customHeight="1">
      <c r="A66" s="29"/>
      <c r="B66" s="38"/>
      <c r="C66" s="29"/>
      <c r="D66" s="29"/>
      <c r="E66" s="29"/>
      <c r="F66" s="29"/>
      <c r="G66" s="29"/>
      <c r="H66" s="114"/>
      <c r="I66" s="89" t="s">
        <v>130</v>
      </c>
      <c r="J66" s="90">
        <f t="shared" ref="J66:O66" si="1">(J65/1)*100</f>
        <v>100</v>
      </c>
      <c r="K66" s="90">
        <f t="shared" si="1"/>
        <v>100</v>
      </c>
      <c r="L66" s="91">
        <f t="shared" si="1"/>
        <v>100</v>
      </c>
      <c r="M66" s="79">
        <f t="shared" si="1"/>
        <v>75</v>
      </c>
      <c r="N66" s="90">
        <f t="shared" si="1"/>
        <v>75</v>
      </c>
      <c r="O66" s="91">
        <f t="shared" si="1"/>
        <v>75</v>
      </c>
      <c r="P66" s="92">
        <f>ROUND(AVERAGE(J66:O66),2)</f>
        <v>87.5</v>
      </c>
      <c r="Q66" s="29"/>
      <c r="R66" s="29"/>
      <c r="S66" s="29"/>
      <c r="T66" s="29"/>
      <c r="U66" s="29"/>
      <c r="V66" s="29"/>
      <c r="W66" s="29"/>
      <c r="X66" s="29"/>
      <c r="Y66" s="29"/>
      <c r="Z66" s="29"/>
      <c r="AA66" s="29"/>
      <c r="AB66" s="29"/>
    </row>
    <row r="67" spans="1:28" ht="14.25" hidden="1" customHeight="1">
      <c r="A67" s="29"/>
      <c r="B67" s="38"/>
      <c r="C67" s="29"/>
      <c r="D67" s="29"/>
      <c r="E67" s="29"/>
      <c r="F67" s="29"/>
      <c r="G67" s="29"/>
      <c r="H67" s="113" t="s">
        <v>132</v>
      </c>
      <c r="I67" s="89" t="s">
        <v>129</v>
      </c>
      <c r="J67" s="90">
        <v>0.9</v>
      </c>
      <c r="K67" s="90">
        <v>0.9</v>
      </c>
      <c r="L67" s="91">
        <v>0.9</v>
      </c>
      <c r="M67" s="79"/>
      <c r="N67" s="90"/>
      <c r="O67" s="91"/>
      <c r="P67" s="92">
        <f>SUM(J67:O67)</f>
        <v>2.7</v>
      </c>
      <c r="Q67" s="29"/>
      <c r="R67" s="29"/>
      <c r="S67" s="29"/>
      <c r="T67" s="29"/>
      <c r="U67" s="29"/>
      <c r="V67" s="29"/>
      <c r="W67" s="29"/>
      <c r="X67" s="29"/>
      <c r="Y67" s="29"/>
      <c r="Z67" s="29"/>
      <c r="AA67" s="29"/>
      <c r="AB67" s="29"/>
    </row>
    <row r="68" spans="1:28" ht="15.5" hidden="1">
      <c r="A68" s="29"/>
      <c r="B68" s="38"/>
      <c r="C68" s="38"/>
      <c r="D68" s="38"/>
      <c r="E68" s="38"/>
      <c r="F68" s="29"/>
      <c r="G68" s="29"/>
      <c r="H68" s="114"/>
      <c r="I68" s="89" t="s">
        <v>130</v>
      </c>
      <c r="J68" s="90">
        <f t="shared" ref="J68:L68" si="2">(J67/1)*100</f>
        <v>90</v>
      </c>
      <c r="K68" s="90">
        <f t="shared" si="2"/>
        <v>90</v>
      </c>
      <c r="L68" s="91">
        <f t="shared" si="2"/>
        <v>90</v>
      </c>
      <c r="M68" s="79"/>
      <c r="N68" s="90"/>
      <c r="O68" s="91"/>
      <c r="P68" s="92">
        <f>ROUND(AVERAGE(J68:O68),2)</f>
        <v>90</v>
      </c>
      <c r="Q68" s="29"/>
      <c r="R68" s="29"/>
      <c r="S68" s="29"/>
      <c r="T68" s="29"/>
      <c r="U68" s="29"/>
      <c r="V68" s="29"/>
      <c r="W68" s="29"/>
      <c r="X68" s="29"/>
      <c r="Y68" s="29"/>
      <c r="Z68" s="29"/>
      <c r="AA68" s="29"/>
      <c r="AB68" s="29"/>
    </row>
    <row r="69" spans="1:28" ht="14.25" customHeight="1">
      <c r="A69" s="29"/>
      <c r="B69" s="38"/>
      <c r="C69" s="38"/>
      <c r="D69" s="38"/>
      <c r="E69" s="38"/>
      <c r="F69" s="29"/>
      <c r="G69" s="29"/>
      <c r="H69" s="29"/>
      <c r="I69" s="29"/>
      <c r="J69" s="29"/>
      <c r="K69" s="29"/>
      <c r="L69" s="72"/>
      <c r="M69" s="29"/>
      <c r="N69" s="29"/>
      <c r="O69" s="72"/>
      <c r="P69" s="29"/>
      <c r="Q69" s="29"/>
      <c r="R69" s="29"/>
      <c r="S69" s="29"/>
      <c r="T69" s="29"/>
      <c r="U69" s="29"/>
      <c r="V69" s="29"/>
      <c r="W69" s="29"/>
      <c r="X69" s="29"/>
      <c r="Y69" s="29"/>
      <c r="Z69" s="29"/>
      <c r="AA69" s="29"/>
      <c r="AB69" s="29"/>
    </row>
    <row r="70" spans="1:28" ht="14.25" customHeight="1">
      <c r="A70" s="29"/>
      <c r="B70" s="38"/>
      <c r="C70" s="38"/>
      <c r="D70" s="38"/>
      <c r="E70" s="38"/>
      <c r="F70" s="29"/>
      <c r="G70" s="29"/>
      <c r="H70" s="29"/>
      <c r="I70" s="29"/>
      <c r="J70" s="29"/>
      <c r="K70" s="29"/>
      <c r="L70" s="72"/>
      <c r="M70" s="29"/>
      <c r="N70" s="29"/>
      <c r="O70" s="72"/>
      <c r="P70" s="29"/>
      <c r="Q70" s="29"/>
      <c r="R70" s="29"/>
      <c r="S70" s="29"/>
      <c r="T70" s="29"/>
      <c r="U70" s="29"/>
      <c r="V70" s="29"/>
      <c r="W70" s="29"/>
      <c r="X70" s="29"/>
      <c r="Y70" s="29"/>
      <c r="Z70" s="29"/>
      <c r="AA70" s="29"/>
      <c r="AB70" s="29"/>
    </row>
    <row r="71" spans="1:28" ht="14.25" customHeight="1">
      <c r="A71" s="29"/>
      <c r="B71" s="29"/>
      <c r="C71" s="29"/>
      <c r="D71" s="29"/>
      <c r="E71" s="29"/>
      <c r="F71" s="29"/>
      <c r="G71" s="29"/>
      <c r="H71" s="29"/>
      <c r="I71" s="29"/>
      <c r="J71" s="29"/>
      <c r="K71" s="29"/>
      <c r="L71" s="112" t="s">
        <v>133</v>
      </c>
      <c r="M71" s="99"/>
      <c r="N71" s="29"/>
      <c r="O71" s="115" t="s">
        <v>134</v>
      </c>
      <c r="P71" s="99"/>
      <c r="Q71" s="99"/>
      <c r="R71" s="99"/>
      <c r="S71" s="93"/>
      <c r="T71" s="93"/>
      <c r="U71" s="29"/>
      <c r="V71" s="29"/>
      <c r="W71" s="29"/>
      <c r="X71" s="29"/>
      <c r="Y71" s="29"/>
      <c r="Z71" s="29"/>
      <c r="AA71" s="29"/>
      <c r="AB71" s="29"/>
    </row>
    <row r="72" spans="1:28" ht="14.25" customHeight="1">
      <c r="A72" s="29"/>
      <c r="B72" s="29"/>
      <c r="C72" s="29"/>
      <c r="D72" s="29"/>
      <c r="E72" s="29"/>
      <c r="F72" s="29"/>
      <c r="G72" s="29"/>
      <c r="H72" s="29"/>
      <c r="I72" s="29"/>
      <c r="J72" s="29"/>
      <c r="K72" s="29"/>
      <c r="L72" s="116" t="s">
        <v>135</v>
      </c>
      <c r="M72" s="99"/>
      <c r="N72" s="29"/>
      <c r="O72" s="116" t="s">
        <v>136</v>
      </c>
      <c r="P72" s="99"/>
      <c r="Q72" s="99"/>
      <c r="R72" s="99"/>
      <c r="S72" s="94"/>
      <c r="T72" s="94"/>
      <c r="U72" s="29"/>
      <c r="V72" s="29"/>
      <c r="W72" s="29"/>
      <c r="X72" s="29"/>
      <c r="Y72" s="29"/>
      <c r="Z72" s="29"/>
      <c r="AA72" s="29"/>
      <c r="AB72" s="29"/>
    </row>
    <row r="73" spans="1:28" ht="157.5" customHeight="1">
      <c r="A73" s="29"/>
      <c r="B73" s="29"/>
      <c r="C73" s="29"/>
      <c r="D73" s="29"/>
      <c r="E73" s="29"/>
      <c r="F73" s="29"/>
      <c r="G73" s="29"/>
      <c r="H73" s="29"/>
      <c r="I73" s="29"/>
      <c r="J73" s="29"/>
      <c r="K73" s="29"/>
      <c r="L73" s="118" t="s">
        <v>138</v>
      </c>
      <c r="M73" s="99"/>
      <c r="N73" s="29"/>
      <c r="O73" s="117" t="s">
        <v>137</v>
      </c>
      <c r="P73" s="99"/>
      <c r="Q73" s="99"/>
      <c r="R73" s="99"/>
      <c r="S73" s="78"/>
      <c r="T73" s="78"/>
      <c r="U73" s="29"/>
      <c r="V73" s="29"/>
      <c r="W73" s="29"/>
      <c r="X73" s="29"/>
      <c r="Y73" s="29"/>
      <c r="Z73" s="29"/>
      <c r="AA73" s="29"/>
      <c r="AB73" s="29"/>
    </row>
    <row r="74" spans="1:28" ht="14.2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spans="1:28" ht="14.2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spans="1:28" ht="14.2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spans="1:28" ht="14.2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spans="1:28" ht="14.2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spans="1:28" ht="14.2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spans="1:28" ht="14.2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spans="1:28" ht="14.2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spans="1:28" ht="14.2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spans="1:28" ht="14.2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spans="1:28" ht="14.2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spans="1:28" ht="14.2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spans="1:28" ht="14.2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spans="1:28" ht="14.2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ht="14.2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spans="1:28" ht="14.2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spans="1:28" ht="14.2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spans="1:28" ht="14.2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spans="1:28" ht="14.2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spans="1:28" ht="14.2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spans="1:28" ht="14.2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spans="1:28" ht="14.2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spans="1:28" ht="14.2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spans="1:28" ht="14.2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spans="1:28" ht="14.2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spans="1:28" ht="14.2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spans="1:28" ht="14.2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spans="1:28" ht="14.2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spans="1:28" ht="14.2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spans="1:28" ht="14.2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spans="1:28" ht="14.2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spans="1:28" ht="14.2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spans="1:28" ht="14.2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spans="1:28" ht="14.2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spans="1:28" ht="14.2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spans="1:28" ht="14.2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spans="1:28" ht="14.2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spans="1:28" ht="14.2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spans="1:28" ht="14.2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spans="1:28" ht="14.2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spans="1:28" ht="14.2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spans="1:28" ht="14.2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spans="1:28" ht="14.2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spans="1:28" ht="14.2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spans="1:28" ht="14.2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spans="1:28" ht="14.2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spans="1:28" ht="14.2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spans="1:28" ht="14.2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spans="1:28" ht="14.2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spans="1:28" ht="14.2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spans="1:28" ht="14.2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spans="1:28" ht="14.2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spans="1:28" ht="14.2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spans="1:28" ht="14.2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spans="1:28" ht="14.2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spans="1:28" ht="14.2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ht="14.2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spans="1:28" ht="14.2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spans="1:28" ht="14.2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spans="1:28" ht="14.2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spans="1:28" ht="14.2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spans="1:28" ht="14.2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spans="1:28" ht="14.2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spans="1:28" ht="14.2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spans="1:28" ht="14.2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spans="1:28" ht="14.2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spans="1:28" ht="14.2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spans="1:28" ht="14.2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spans="1:28" ht="14.2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spans="1:28" ht="14.2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spans="1:28" ht="14.2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spans="1:28" ht="14.2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spans="1:28" ht="14.2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spans="1:28" ht="14.2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spans="1:28" ht="14.2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spans="1:28" ht="14.2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spans="1:28" ht="14.2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spans="1:28" ht="14.2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spans="1:28" ht="14.2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spans="1:28" ht="14.2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spans="1:28" ht="14.2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spans="1:28" ht="14.2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spans="1:28" ht="14.2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spans="1:28" ht="14.2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spans="1:28" ht="14.2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spans="1:28" ht="14.2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spans="1:28" ht="14.2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spans="1:28" ht="14.2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spans="1:28" ht="14.2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spans="1:28" ht="14.2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spans="1:28" ht="14.2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ht="14.2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spans="1:28" ht="14.2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spans="1:28" ht="14.2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spans="1:28" ht="14.2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spans="1:28" ht="14.2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spans="1:28" ht="14.2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spans="1:28" ht="14.2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spans="1:28" ht="14.2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spans="1:28" ht="14.2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spans="1:28" ht="14.2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spans="1:28" ht="14.2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spans="1:28" ht="14.2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spans="1:28" ht="14.2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spans="1:28" ht="14.2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spans="1:28" ht="14.2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spans="1:28" ht="14.2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spans="1:28" ht="14.2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spans="1:28" ht="14.2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spans="1:28" ht="14.2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spans="1:28" ht="14.2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spans="1:28" ht="14.2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spans="1:28" ht="14.2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spans="1:28" ht="14.2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spans="1:28" ht="14.2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spans="1:28" ht="14.2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spans="1:28" ht="14.2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spans="1:28" ht="14.2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spans="1:28" ht="14.2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spans="1:28" ht="14.2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spans="1:28" ht="14.2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spans="1:28" ht="14.2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spans="1:28" ht="14.2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spans="1:28" ht="14.2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spans="1:28" ht="14.2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spans="1:28" ht="14.2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spans="1:28" ht="14.2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spans="1:28" ht="14.2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spans="1:28" ht="14.2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spans="1:28" ht="14.2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spans="1:28" ht="14.2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spans="1:28" ht="14.2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spans="1:28" ht="14.2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spans="1:28" ht="14.2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spans="1:28" ht="14.2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spans="1:28" ht="14.2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spans="1:28" ht="14.2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spans="1:28" ht="14.2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spans="1:28" ht="14.2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spans="1:28" ht="14.2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spans="1:28" ht="14.2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spans="1:28" ht="14.2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spans="1:28" ht="14.2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spans="1:28" ht="14.2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spans="1:28" ht="14.2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spans="1:28" ht="14.2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spans="1:28" ht="14.2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spans="1:28" ht="14.2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spans="1:28" ht="14.2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spans="1:28" ht="14.2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spans="1:28" ht="14.2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spans="1:28" ht="14.2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spans="1:28" ht="14.2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spans="1:28" ht="14.2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spans="1:28" ht="14.2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spans="1:28" ht="14.2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spans="1:28" ht="14.2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spans="1:28" ht="14.2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spans="1:28" ht="14.2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spans="1:28" ht="14.2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spans="1:28" ht="14.2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spans="1:28" ht="14.2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spans="1:28" ht="14.2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spans="1:28" ht="14.2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spans="1:28" ht="14.2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spans="1:28" ht="14.2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spans="1:28" ht="14.2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spans="1:28" ht="14.2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spans="1:28" ht="14.2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spans="1:28" ht="14.2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spans="1:28" ht="14.2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spans="1:28" ht="14.2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spans="1:28" ht="14.2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spans="1:28" ht="14.2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ht="14.2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spans="1:28" ht="14.2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spans="1:28" ht="14.2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spans="1:28" ht="14.2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spans="1:28" ht="14.2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spans="1:28" ht="14.2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spans="1:28" ht="14.2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spans="1:28" ht="14.2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spans="1:28" ht="14.2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spans="1:28" ht="14.2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spans="1:28" ht="14.2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spans="1:28" ht="14.2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spans="1:28" ht="14.2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spans="1:28" ht="14.2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spans="1:28" ht="14.2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spans="1:28" ht="14.2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spans="1:28" ht="14.2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spans="1:28" ht="14.2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spans="1:28" ht="14.2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spans="1:28" ht="14.2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spans="1:28" ht="14.2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spans="1:28" ht="14.2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spans="1:28" ht="14.2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spans="1:28" ht="14.2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spans="1:28" ht="14.2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spans="1:28" ht="14.2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spans="1:28" ht="14.2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spans="1:28" ht="14.2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spans="1:28" ht="14.2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spans="1:28" ht="14.2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spans="1:28" ht="14.2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spans="1:28" ht="14.2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spans="1:28" ht="14.2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spans="1:28" ht="14.2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spans="1:28" ht="14.2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spans="1:28" ht="14.2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spans="1:28" ht="14.2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spans="1:28" ht="14.2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spans="1:28" ht="14.2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spans="1:28" ht="14.2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spans="1:28" ht="14.2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ht="14.2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spans="1:28" ht="14.2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spans="1:28" ht="14.2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spans="1:28" ht="14.2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spans="1:28" ht="14.2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spans="1:28" ht="14.2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spans="1:28" ht="14.2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spans="1:28" ht="14.2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spans="1:28" ht="14.2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spans="1:28" ht="14.2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spans="1:28" ht="14.2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spans="1:28" ht="14.2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spans="1:28" ht="14.2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spans="1:28" ht="14.2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spans="1:28" ht="14.2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spans="1:28" ht="14.2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spans="1:28" ht="14.2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spans="1:28" ht="14.2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spans="1:28" ht="14.2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spans="1:28" ht="14.2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spans="1:28" ht="14.2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spans="1:28" ht="14.2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spans="1:28" ht="14.2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spans="1:28" ht="14.2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spans="1:28" ht="14.2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spans="1:28" ht="14.2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spans="1:28" ht="14.2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spans="1:28" ht="14.2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spans="1:28" ht="14.2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spans="1:28" ht="14.2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spans="1:28" ht="14.2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spans="1:28" ht="14.2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spans="1:28" ht="14.2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spans="1:28" ht="14.2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spans="1:28" ht="14.2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spans="1:28" ht="14.2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spans="1:28" ht="14.2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spans="1:28" ht="14.2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spans="1:28" ht="14.2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ht="14.2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spans="1:28" ht="14.2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spans="1:28" ht="14.2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spans="1:28" ht="14.2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spans="1:28" ht="14.2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spans="1:28" ht="14.2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spans="1:28" ht="14.2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spans="1:28" ht="14.2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spans="1:28" ht="14.2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spans="1:28" ht="14.2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spans="1:28" ht="14.2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spans="1:28" ht="14.2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spans="1:28" ht="14.2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spans="1:28" ht="14.2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spans="1:28" ht="14.2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spans="1:28" ht="14.2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spans="1:28" ht="14.2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spans="1:28" ht="14.2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spans="1:28" ht="14.2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spans="1:28" ht="14.2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spans="1:28" ht="14.2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spans="1:28" ht="14.2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spans="1:28" ht="14.2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spans="1:28" ht="14.2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spans="1:28" ht="14.2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spans="1:28" ht="14.2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spans="1:28" ht="14.2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spans="1:28" ht="14.2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spans="1:28" ht="14.2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spans="1:28" ht="14.2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spans="1:28" ht="14.2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spans="1:28" ht="14.2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spans="1:28" ht="14.2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spans="1:28" ht="14.2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spans="1:28" ht="14.2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spans="1:28" ht="14.2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spans="1:28" ht="14.2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spans="1:28" ht="14.2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spans="1:28" ht="14.2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spans="1:28" ht="14.2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spans="1:28" ht="14.2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spans="1:28" ht="14.2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spans="1:28" ht="14.2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spans="1:28" ht="14.2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spans="1:28" ht="14.2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spans="1:28" ht="14.2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spans="1:28" ht="14.2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spans="1:28" ht="14.2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spans="1:28" ht="14.2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spans="1:28" ht="14.2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spans="1:28" ht="14.2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spans="1:28" ht="14.2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spans="1:28" ht="14.2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spans="1:28" ht="14.2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spans="1:28" ht="14.2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spans="1:28" ht="14.2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spans="1:28" ht="14.2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spans="1:28" ht="14.2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spans="1:28" ht="14.2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spans="1:28" ht="14.2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spans="1:28" ht="14.2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spans="1:28" ht="14.2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spans="1:28" ht="14.2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spans="1:28" ht="14.2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spans="1:28" ht="14.2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spans="1:28" ht="14.2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spans="1:28" ht="14.2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spans="1:28" ht="14.2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spans="1:28" ht="14.2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spans="1:28" ht="14.2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spans="1:28" ht="14.2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spans="1:28" ht="14.2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spans="1:28" ht="14.2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spans="1:28" ht="14.2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spans="1:28" ht="14.2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spans="1:28" ht="14.2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spans="1:28" ht="14.2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spans="1:28" ht="14.2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spans="1:28" ht="14.2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spans="1:28" ht="14.2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spans="1:28" ht="14.2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spans="1:28" ht="14.2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spans="1:28" ht="14.2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spans="1:28" ht="14.2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spans="1:28" ht="14.2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spans="1:28" ht="14.2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spans="1:28" ht="14.2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spans="1:28" ht="14.2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spans="1:28" ht="14.2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spans="1:28" ht="14.2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spans="1:28" ht="14.2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spans="1:28" ht="14.2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spans="1:28" ht="14.2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spans="1:28" ht="14.2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spans="1:28" ht="14.2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spans="1:28" ht="14.2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spans="1:28" ht="14.2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spans="1:28" ht="14.2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spans="1:28" ht="14.2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spans="1:28" ht="14.2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spans="1:28" ht="14.2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spans="1:28" ht="14.2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spans="1:28" ht="14.2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spans="1:28" ht="14.2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spans="1:28" ht="14.2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spans="1:28" ht="14.2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spans="1:28" ht="14.2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spans="1:28" ht="14.2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spans="1:28" ht="14.2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spans="1:28" ht="14.2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spans="1:28" ht="14.2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spans="1:28" ht="14.2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spans="1:28" ht="14.2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spans="1:28" ht="14.2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spans="1:28" ht="14.2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spans="1:28" ht="14.2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spans="1:28" ht="14.2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spans="1:28" ht="14.2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spans="1:28" ht="14.2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spans="1:28" ht="14.2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spans="1:28" ht="14.2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spans="1:28" ht="14.2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spans="1:28" ht="14.2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spans="1:28" ht="14.2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spans="1:28" ht="14.2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spans="1:28" ht="14.2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spans="1:28" ht="14.2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spans="1:28" ht="14.2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spans="1:28" ht="14.2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spans="1:28" ht="14.2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spans="1:28" ht="14.2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spans="1:28" ht="14.2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spans="1:28" ht="14.2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spans="1:28" ht="14.2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spans="1:28" ht="14.2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spans="1:28" ht="14.2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spans="1:28" ht="14.2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spans="1:28" ht="14.2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spans="1:28" ht="14.2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spans="1:28" ht="14.2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spans="1:28" ht="14.2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spans="1:28" ht="14.2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spans="1:28" ht="14.2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spans="1:28" ht="14.2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spans="1:28" ht="14.2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spans="1:28" ht="14.2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spans="1:28" ht="14.2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spans="1:28" ht="14.2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spans="1:28" ht="14.2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spans="1:28" ht="14.2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spans="1:28" ht="14.2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spans="1:28" ht="14.2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spans="1:28" ht="14.2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spans="1:28" ht="14.2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spans="1:28" ht="14.2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spans="1:28" ht="14.2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spans="1:28" ht="14.2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spans="1:28" ht="14.2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spans="1:28" ht="14.2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spans="1:28" ht="14.2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spans="1:28" ht="14.2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spans="1:28" ht="14.2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spans="1:28" ht="14.2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spans="1:28" ht="14.2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spans="1:28" ht="14.2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spans="1:28" ht="14.2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spans="1:28" ht="14.2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spans="1:28" ht="14.2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spans="1:28" ht="14.2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spans="1:28" ht="14.2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spans="1:28" ht="14.2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spans="1:28" ht="14.2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spans="1:28" ht="14.2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spans="1:28" ht="14.2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spans="1:28" ht="14.2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spans="1:28" ht="14.2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spans="1:28" ht="14.2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spans="1:28" ht="14.2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spans="1:28" ht="14.2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spans="1:28" ht="14.2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spans="1:28" ht="14.2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spans="1:28" ht="14.2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spans="1:28" ht="14.2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spans="1:28" ht="14.2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spans="1:28" ht="14.2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spans="1:28" ht="14.2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spans="1:28" ht="14.2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spans="1:28" ht="14.2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spans="1:28" ht="14.2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spans="1:28" ht="14.2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spans="1:28" ht="14.2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spans="1:28" ht="14.2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spans="1:28" ht="14.2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spans="1:28" ht="14.2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spans="1:28" ht="14.2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spans="1:28" ht="14.2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spans="1:28" ht="14.2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spans="1:28" ht="14.2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spans="1:28" ht="14.2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spans="1:28" ht="14.2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spans="1:28" ht="14.2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spans="1:28" ht="14.2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spans="1:28" ht="14.2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spans="1:28" ht="14.2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spans="1:28" ht="14.2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spans="1:28" ht="14.2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spans="1:28" ht="14.2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spans="1:28" ht="14.2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spans="1:28" ht="14.2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spans="1:28" ht="14.2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spans="1:28" ht="14.2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spans="1:28" ht="14.2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spans="1:28" ht="14.2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spans="1:28" ht="14.2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spans="1:28" ht="14.2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spans="1:28" ht="14.2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spans="1:28" ht="14.2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spans="1:28" ht="14.2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spans="1:28" ht="14.2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spans="1:28" ht="14.2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spans="1:28" ht="14.2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spans="1:28" ht="14.2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spans="1:28" ht="14.2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spans="1:28" ht="14.2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spans="1:28" ht="14.2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spans="1:28" ht="14.2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spans="1:28" ht="14.2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spans="1:28" ht="14.2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spans="1:28" ht="14.2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spans="1:28" ht="14.2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spans="1:28" ht="14.2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spans="1:28" ht="14.2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spans="1:28" ht="14.2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spans="1:28" ht="14.2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spans="1:28" ht="14.2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spans="1:28" ht="14.2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spans="1:28" ht="14.2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spans="1:28" ht="14.2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spans="1:28" ht="14.2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spans="1:28" ht="14.2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spans="1:28" ht="14.2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spans="1:28" ht="14.2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spans="1:28" ht="14.2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spans="1:28" ht="14.2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spans="1:28" ht="14.2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spans="1:28" ht="14.2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spans="1:28" ht="14.2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spans="1:28" ht="14.2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spans="1:28" ht="14.2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spans="1:28" ht="14.2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spans="1:28" ht="14.2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spans="1:28" ht="14.2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spans="1:28" ht="14.2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spans="1:28" ht="14.2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spans="1:28" ht="14.2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spans="1:28" ht="14.2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spans="1:28" ht="14.2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spans="1:28" ht="14.2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spans="1:28" ht="14.2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spans="1:28" ht="14.2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spans="1:28" ht="14.2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spans="1:28" ht="14.2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spans="1:28" ht="14.2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spans="1:28" ht="14.2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spans="1:28" ht="14.2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spans="1:28" ht="14.2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spans="1:28" ht="14.2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spans="1:28" ht="14.2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spans="1:28" ht="14.2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spans="1:28" ht="14.2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spans="1:28" ht="14.2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spans="1:28" ht="14.2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spans="1:28" ht="14.2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spans="1:28" ht="14.2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spans="1:28" ht="14.2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spans="1:28" ht="14.2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spans="1:28" ht="14.2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spans="1:28" ht="14.2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spans="1:28" ht="14.2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spans="1:28" ht="14.2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spans="1:28" ht="14.2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spans="1:28" ht="14.2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spans="1:28" ht="14.2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spans="1:28" ht="14.2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spans="1:28" ht="14.2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spans="1:28" ht="14.2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spans="1:28" ht="14.2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spans="1:28" ht="14.2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spans="1:28" ht="14.2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spans="1:28" ht="14.2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spans="1:28" ht="14.2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spans="1:28" ht="14.2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spans="1:28" ht="14.2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spans="1:28" ht="14.2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spans="1:28" ht="14.2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spans="1:28" ht="14.2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spans="1:28" ht="14.2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spans="1:28" ht="14.2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spans="1:28" ht="14.2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spans="1:28" ht="14.2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spans="1:28" ht="14.2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spans="1:28" ht="14.2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spans="1:28" ht="14.2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spans="1:28" ht="14.2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spans="1:28" ht="14.2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spans="1:28" ht="14.2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spans="1:28" ht="14.2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spans="1:28" ht="14.2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spans="1:28" ht="14.2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spans="1:28" ht="14.2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spans="1:28" ht="14.2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spans="1:28" ht="14.2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spans="1:28" ht="14.2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spans="1:28" ht="14.2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spans="1:28" ht="14.2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spans="1:28" ht="14.2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spans="1:28" ht="14.2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spans="1:28" ht="14.2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spans="1:28" ht="14.2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spans="1:28" ht="14.2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spans="1:28" ht="14.2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spans="1:28" ht="14.2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spans="1:28" ht="14.2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spans="1:28" ht="14.2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spans="1:28" ht="14.2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spans="1:28" ht="14.2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spans="1:28" ht="14.2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spans="1:28" ht="14.2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spans="1:28" ht="14.2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spans="1:28" ht="14.2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spans="1:28" ht="14.2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spans="1:28" ht="14.2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spans="1:28" ht="14.2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spans="1:28" ht="14.2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spans="1:28" ht="14.2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spans="1:28" ht="14.2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spans="1:28" ht="14.2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spans="1:28" ht="14.2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spans="1:28" ht="14.2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spans="1:28" ht="14.2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spans="1:28" ht="14.2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spans="1:28" ht="14.2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spans="1:28" ht="14.2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spans="1:28" ht="14.2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spans="1:28" ht="14.2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spans="1:28" ht="14.2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spans="1:28" ht="14.2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spans="1:28" ht="14.2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spans="1:28" ht="14.2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spans="1:28" ht="14.2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spans="1:28" ht="14.2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spans="1:28" ht="14.2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spans="1:28" ht="14.2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spans="1:28" ht="14.2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spans="1:28" ht="14.2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spans="1:28" ht="14.2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spans="1:28" ht="14.2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spans="1:28" ht="14.2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spans="1:28" ht="14.2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spans="1:28" ht="14.2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spans="1:28" ht="14.2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spans="1:28" ht="14.2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spans="1:28" ht="14.2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spans="1:28" ht="14.2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spans="1:28" ht="14.2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spans="1:28" ht="14.2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spans="1:28" ht="14.2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spans="1:28" ht="14.2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spans="1:28" ht="14.2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spans="1:28" ht="14.2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spans="1:28" ht="14.2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spans="1:28" ht="14.2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spans="1:28" ht="14.2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spans="1:28" ht="14.2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spans="1:28" ht="14.2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spans="1:28" ht="14.2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spans="1:28" ht="14.2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spans="1:28" ht="14.2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spans="1:28" ht="14.2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spans="1:28" ht="14.2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spans="1:28" ht="14.2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spans="1:28" ht="14.2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spans="1:28" ht="14.2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spans="1:28" ht="14.2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spans="1:28" ht="14.2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spans="1:28" ht="14.2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spans="1:28" ht="14.2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spans="1:28" ht="14.2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spans="1:28" ht="14.2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spans="1:28" ht="14.2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spans="1:28" ht="14.2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spans="1:28" ht="14.2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spans="1:28" ht="14.2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spans="1:28" ht="14.2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spans="1:28" ht="14.2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spans="1:28" ht="14.2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spans="1:28" ht="14.2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spans="1:28" ht="14.2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spans="1:28" ht="14.2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spans="1:28" ht="14.2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spans="1:28" ht="14.2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spans="1:28" ht="14.2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spans="1:28" ht="14.2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spans="1:28" ht="14.2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spans="1:28" ht="14.2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spans="1:28" ht="14.2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spans="1:28" ht="14.2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spans="1:28" ht="14.2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spans="1:28" ht="14.2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spans="1:28" ht="14.2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spans="1:28" ht="14.2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spans="1:28" ht="14.2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spans="1:28" ht="14.2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spans="1:28" ht="14.2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spans="1:28" ht="14.2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spans="1:28" ht="14.2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spans="1:28" ht="14.2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spans="1:28" ht="14.2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spans="1:28" ht="14.2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spans="1:28" ht="14.2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spans="1:28" ht="14.2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spans="1:28" ht="14.2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spans="1:28" ht="14.2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spans="1:28" ht="14.2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spans="1:28" ht="14.2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spans="1:28" ht="14.2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spans="1:28" ht="14.2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spans="1:28" ht="14.2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spans="1:28" ht="14.2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spans="1:28" ht="14.2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spans="1:28" ht="14.2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spans="1:28" ht="14.2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spans="1:28" ht="14.2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spans="1:28" ht="14.2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spans="1:28" ht="14.2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spans="1:28" ht="14.2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spans="1:28" ht="14.2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spans="1:28" ht="14.2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spans="1:28" ht="14.2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spans="1:28" ht="14.2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spans="1:28" ht="14.2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spans="1:28" ht="14.2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spans="1:28" ht="14.2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spans="1:28" ht="14.2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spans="1:28" ht="14.2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spans="1:28" ht="14.2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spans="1:28" ht="14.2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spans="1:28" ht="14.2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spans="1:28" ht="14.2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spans="1:28" ht="14.2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spans="1:28" ht="14.2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spans="1:28" ht="14.2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spans="1:28" ht="14.2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spans="1:28" ht="14.2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spans="1:28" ht="14.2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spans="1:28" ht="14.2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spans="1:28" ht="14.2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spans="1:28" ht="14.2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spans="1:28" ht="14.2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spans="1:28" ht="14.2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spans="1:28" ht="14.2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spans="1:28" ht="14.2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spans="1:28" ht="14.2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spans="1:28" ht="14.2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spans="1:28" ht="14.2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spans="1:28" ht="14.2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spans="1:28" ht="14.2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spans="1:28" ht="14.2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spans="1:28" ht="14.2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spans="1:28" ht="14.2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spans="1:28" ht="14.2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spans="1:28" ht="14.2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spans="1:28" ht="14.2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spans="1:28" ht="14.2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spans="1:28" ht="14.2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spans="1:28" ht="14.2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spans="1:28" ht="14.2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spans="1:28" ht="14.2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spans="1:28" ht="14.2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spans="1:28" ht="14.2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spans="1:28" ht="14.2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spans="1:28" ht="14.2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spans="1:28" ht="14.2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spans="1:28" ht="14.2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spans="1:28" ht="14.2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spans="1:28" ht="14.2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spans="1:28" ht="14.2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spans="1:28" ht="14.2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spans="1:28" ht="14.2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spans="1:28" ht="14.2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spans="1:28" ht="14.2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spans="1:28" ht="14.2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spans="1:28" ht="14.2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spans="1:28" ht="14.2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spans="1:28" ht="14.2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spans="1:28" ht="14.2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spans="1:28" ht="14.2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spans="1:28" ht="14.2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spans="1:28" ht="14.2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spans="1:28" ht="14.2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spans="1:28" ht="14.2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spans="1:28" ht="14.2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spans="1:28" ht="14.2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spans="1:28" ht="14.2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spans="1:28" ht="14.2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spans="1:28" ht="14.2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spans="1:28" ht="14.2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spans="1:28" ht="14.2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spans="1:28" ht="14.2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spans="1:28" ht="14.2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spans="1:28" ht="14.2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spans="1:28" ht="14.2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spans="1:28" ht="14.2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spans="1:28" ht="14.2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spans="1:28" ht="14.2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spans="1:28" ht="14.2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spans="1:28" ht="14.2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spans="1:28" ht="14.2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spans="1:28" ht="14.2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spans="1:28" ht="14.2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spans="1:28" ht="14.2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spans="1:28" ht="14.2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spans="1:28" ht="14.2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spans="1:28" ht="14.2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spans="1:28" ht="14.2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spans="1:28" ht="14.2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spans="1:28" ht="14.2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spans="1:28" ht="14.2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spans="1:28" ht="14.2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spans="1:28" ht="14.2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spans="1:28" ht="14.2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spans="1:28" ht="14.2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spans="1:28" ht="14.2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spans="1:28" ht="14.2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spans="1:28" ht="14.2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spans="1:28" ht="14.2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spans="1:28" ht="14.2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spans="1:28" ht="14.2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spans="1:28" ht="14.2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spans="1:28" ht="14.2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spans="1:28" ht="14.2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spans="1:28" ht="14.2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spans="1:28" ht="14.2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spans="1:28" ht="14.2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spans="1:28" ht="14.2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spans="1:28" ht="14.2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spans="1:28" ht="14.2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spans="1:28" ht="14.2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spans="1:28" ht="14.2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spans="1:28" ht="14.2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spans="1:28" ht="14.2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spans="1:28" ht="14.2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spans="1:28" ht="14.2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spans="1:28" ht="14.2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spans="1:28" ht="14.2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spans="1:28" ht="14.2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spans="1:28" ht="14.2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spans="1:28" ht="14.2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spans="1:28" ht="14.2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spans="1:28" ht="14.2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spans="1:28" ht="14.2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spans="1:28" ht="14.2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spans="1:28" ht="14.2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spans="1:28" ht="14.2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spans="1:28" ht="14.2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spans="1:28" ht="14.2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spans="1:28" ht="14.2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spans="1:28" ht="14.2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spans="1:28" ht="14.2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spans="1:28" ht="14.2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spans="1:28" ht="14.2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spans="1:28" ht="14.2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spans="1:28" ht="14.2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spans="1:28" ht="14.2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spans="1:28" ht="14.2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spans="1:28" ht="14.2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spans="1:28" ht="14.2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spans="1:28" ht="14.2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spans="1:28" ht="14.2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spans="1:28" ht="14.2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spans="1:28" ht="14.2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spans="1:28" ht="14.2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spans="1:28" ht="14.2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spans="1:28" ht="14.2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spans="1:28" ht="14.2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spans="1:28" ht="14.2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spans="1:28" ht="14.2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spans="1:28" ht="14.2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spans="1:28" ht="14.2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spans="1:28" ht="14.2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spans="1:28" ht="14.2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spans="1:28" ht="14.2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spans="1:28" ht="14.2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spans="1:28" ht="14.2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spans="1:28" ht="14.2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spans="1:28" ht="14.2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spans="1:28" ht="14.2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spans="1:28" ht="14.2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spans="1:28" ht="14.2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spans="1:28" ht="14.2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spans="1:28" ht="14.2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spans="1:28" ht="14.2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spans="1:28" ht="14.2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spans="1:28" ht="14.2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spans="1:28" ht="14.2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spans="1:28" ht="14.2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spans="1:28" ht="14.2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spans="1:28" ht="14.2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spans="1:28" ht="14.2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spans="1:28" ht="14.2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spans="1:28" ht="14.2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spans="1:28" ht="14.2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spans="1:28" ht="14.2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spans="1:28" ht="14.2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spans="1:28" ht="14.2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spans="1:28" ht="14.2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spans="1:28" ht="14.2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spans="1:28" ht="14.2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spans="1:28" ht="14.2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spans="1:28" ht="14.2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spans="1:28" ht="14.2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spans="1:28" ht="14.2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spans="1:28" ht="14.2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spans="1:28" ht="14.2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spans="1:28" ht="14.2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spans="1:28" ht="14.2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spans="1:28" ht="14.2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spans="1:28" ht="14.2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spans="1:28" ht="14.2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spans="1:28" ht="14.2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spans="1:28" ht="14.2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spans="1:28" ht="14.2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spans="1:28" ht="14.2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spans="1:28" ht="14.2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spans="1:28" ht="14.2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spans="1:28" ht="14.2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spans="1:28" ht="14.2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spans="1:28" ht="14.2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spans="1:28" ht="14.2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spans="1:28" ht="14.2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spans="1:28" ht="14.2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spans="1:28" ht="14.2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spans="1:28" ht="14.2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spans="1:28" ht="14.2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spans="1:28" ht="14.2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spans="1:28" ht="14.2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spans="1:28" ht="14.2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spans="1:28" ht="14.2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spans="1:28" ht="14.2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spans="1:28" ht="14.2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spans="1:28" ht="14.2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spans="1:28" ht="14.2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spans="1:28" ht="14.2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spans="1:28" ht="14.2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spans="1:28" ht="14.2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spans="1:28" ht="14.2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spans="1:28" ht="14.2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spans="1:28" ht="14.2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spans="1:28" ht="14.2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spans="1:28" ht="14.2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spans="1:28" ht="14.2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spans="1:28" ht="14.2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spans="1:28" ht="14.2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spans="1:28" ht="14.2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spans="1:28" ht="14.2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spans="1:28" ht="14.2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spans="1:28" ht="14.2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spans="1:28" ht="14.2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spans="1:28" ht="14.2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spans="1:28" ht="14.2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spans="1:28" ht="14.2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spans="1:28" ht="14.2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spans="1:28" ht="14.2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row r="1001" spans="1:28" ht="14.25" customHeight="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row>
    <row r="1002" spans="1:28" ht="14.25" customHeight="1">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row>
    <row r="1003" spans="1:28" ht="14.25" customHeight="1">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row>
    <row r="1004" spans="1:28" ht="14.25" customHeight="1">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row>
    <row r="1005" spans="1:28" ht="14.25" customHeight="1">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row>
    <row r="1006" spans="1:28" ht="14.25" customHeight="1">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row>
    <row r="1007" spans="1:28" ht="14.25" customHeight="1">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row>
    <row r="1008" spans="1:28" ht="14.25" customHeight="1">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row>
    <row r="1009" spans="1:28" ht="14.25" customHeight="1">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row>
    <row r="1010" spans="1:28" ht="14.25" customHeight="1">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row>
  </sheetData>
  <mergeCells count="19">
    <mergeCell ref="O71:R71"/>
    <mergeCell ref="L72:M72"/>
    <mergeCell ref="O72:R72"/>
    <mergeCell ref="L73:M73"/>
    <mergeCell ref="O73:R73"/>
    <mergeCell ref="B4:D4"/>
    <mergeCell ref="B31:D31"/>
    <mergeCell ref="A1:D1"/>
    <mergeCell ref="L71:M71"/>
    <mergeCell ref="H63:H64"/>
    <mergeCell ref="H65:H66"/>
    <mergeCell ref="H67:H68"/>
    <mergeCell ref="B46:B49"/>
    <mergeCell ref="B51:B54"/>
    <mergeCell ref="J31:S32"/>
    <mergeCell ref="B35:B39"/>
    <mergeCell ref="U37:V38"/>
    <mergeCell ref="W37:W38"/>
    <mergeCell ref="B41:B44"/>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background and team</vt:lpstr>
      <vt:lpstr>Issue map &amp; Workplan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Luba Vazhenina</dc:creator>
  <cp:lastModifiedBy>Shivam Singh</cp:lastModifiedBy>
  <dcterms:created xsi:type="dcterms:W3CDTF">2022-10-12T15:27:53Z</dcterms:created>
  <dcterms:modified xsi:type="dcterms:W3CDTF">2026-08-21T06:55:58Z</dcterms:modified>
  <dc:title>L.E.K. FruityFruits Consulting Workplan Take-Home Response</dc:title>
  <dc:subject>Completed issue map and workplan response for the FruityFruits consulting take-home exercise.</dc:subject>
  <cp:keywords>L.E.K.; FruityFruits; consulting case; issue map; workplan; take-home response; 2023</cp:keywords>
  <dc:description>Candidate response workbook containing the case background, issue map, and completed workplan.</dc:description>
  <cp:category>Interview Assignment</cp:category>
  <cp:contentStatus>Completed</cp:contentStatus>
  <dc:language>en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d47060-f1cd-4bbe-8b4c-5fb444b8f676_Enabled">
    <vt:lpwstr>true</vt:lpwstr>
  </property>
  <property fmtid="{D5CDD505-2E9C-101B-9397-08002B2CF9AE}" pid="3" name="MSIP_Label_53d47060-f1cd-4bbe-8b4c-5fb444b8f676_SetDate">
    <vt:lpwstr>2022-10-12T15:27:55Z</vt:lpwstr>
  </property>
  <property fmtid="{D5CDD505-2E9C-101B-9397-08002B2CF9AE}" pid="4" name="MSIP_Label_53d47060-f1cd-4bbe-8b4c-5fb444b8f676_Method">
    <vt:lpwstr>Standard</vt:lpwstr>
  </property>
  <property fmtid="{D5CDD505-2E9C-101B-9397-08002B2CF9AE}" pid="5" name="MSIP_Label_53d47060-f1cd-4bbe-8b4c-5fb444b8f676_Name">
    <vt:lpwstr>L.E.K. Client Confidential</vt:lpwstr>
  </property>
  <property fmtid="{D5CDD505-2E9C-101B-9397-08002B2CF9AE}" pid="6" name="MSIP_Label_53d47060-f1cd-4bbe-8b4c-5fb444b8f676_SiteId">
    <vt:lpwstr>80408883-8646-4762-acfa-44e5da52b8dd</vt:lpwstr>
  </property>
  <property fmtid="{D5CDD505-2E9C-101B-9397-08002B2CF9AE}" pid="7" name="MSIP_Label_53d47060-f1cd-4bbe-8b4c-5fb444b8f676_ActionId">
    <vt:lpwstr>d3314e5b-bad1-419e-84b2-c7ea5c0be9a9</vt:lpwstr>
  </property>
  <property fmtid="{D5CDD505-2E9C-101B-9397-08002B2CF9AE}" pid="8" name="MSIP_Label_53d47060-f1cd-4bbe-8b4c-5fb444b8f676_ContentBits">
    <vt:lpwstr>0</vt:lpwstr>
  </property>
</Properties>
</file>